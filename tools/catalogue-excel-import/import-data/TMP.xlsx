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11.xml.rels" ContentType="application/vnd.openxmlformats-package.relationships+xml"/>
  <Override PartName="/xl/worksheets/_rels/sheet10.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Lists of values" sheetId="1" state="visible" r:id="rId2"/>
    <sheet name="Catalogue properties" sheetId="2" state="visible" r:id="rId3"/>
    <sheet name="Vacuum Technology" sheetId="3" state="visible" r:id="rId4"/>
    <sheet name="Vacuum Pump" sheetId="4" state="visible" r:id="rId5"/>
    <sheet name="Turbomolecular pumps" sheetId="5" state="visible" r:id="rId6"/>
    <sheet name="Catalogue items" sheetId="6" state="visible" r:id="rId7"/>
    <sheet name="Dry vacuum pumps" sheetId="7" state="visible" r:id="rId8"/>
    <sheet name="Catalogue items (2)" sheetId="8" state="visible" r:id="rId9"/>
    <sheet name="Cryopumps" sheetId="9" state="visible" r:id="rId10"/>
    <sheet name="Catalogue items (3)" sheetId="10" state="visible" r:id="rId11"/>
    <sheet name="Roughing" sheetId="11" state="visible" r:id="rId12"/>
  </sheets>
  <definedNames>
    <definedName function="false" hidden="false" name="ManufacturerList" vbProcedure="false">'Lists of values'!$A$2:$A$1000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<sst xmlns="http://schemas.openxmlformats.org/spreadsheetml/2006/main" count="566" uniqueCount="231">
  <si>
    <t xml:space="preserve">Manufacturer</t>
  </si>
  <si>
    <t xml:space="preserve">Cooling</t>
  </si>
  <si>
    <t xml:space="preserve">flange type</t>
  </si>
  <si>
    <t xml:space="preserve">flange size</t>
  </si>
  <si>
    <t xml:space="preserve">Bearing</t>
  </si>
  <si>
    <t xml:space="preserve">PFEIFFER VACUUM AUSTRIA GmbH</t>
  </si>
  <si>
    <t xml:space="preserve">Water</t>
  </si>
  <si>
    <t xml:space="preserve">ISO-F</t>
  </si>
  <si>
    <t xml:space="preserve">DN 16</t>
  </si>
  <si>
    <t xml:space="preserve">Magnet</t>
  </si>
  <si>
    <t xml:space="preserve">Edwards Ltd</t>
  </si>
  <si>
    <t xml:space="preserve">Air</t>
  </si>
  <si>
    <t xml:space="preserve">ISO-K</t>
  </si>
  <si>
    <t xml:space="preserve">DN 25</t>
  </si>
  <si>
    <t xml:space="preserve">Ball bearings</t>
  </si>
  <si>
    <t xml:space="preserve">Leybold</t>
  </si>
  <si>
    <t xml:space="preserve">ISO-KF</t>
  </si>
  <si>
    <t xml:space="preserve">DN 40</t>
  </si>
  <si>
    <t xml:space="preserve">Hybrid</t>
  </si>
  <si>
    <t xml:space="preserve">Leybold (NTG)</t>
  </si>
  <si>
    <t xml:space="preserve">CF-F</t>
  </si>
  <si>
    <t xml:space="preserve">DN 100</t>
  </si>
  <si>
    <t xml:space="preserve">PFEIFFER VACUUM AUSTRIA GmbH (Vakuum servis s.r.o.)</t>
  </si>
  <si>
    <t xml:space="preserve">ISO-KF/G ¼"</t>
  </si>
  <si>
    <t xml:space="preserve">DN 160</t>
  </si>
  <si>
    <t xml:space="preserve">Edwards Ltd (Activair s.r.o.)</t>
  </si>
  <si>
    <t xml:space="preserve">Silencer</t>
  </si>
  <si>
    <t xml:space="preserve">DN 250</t>
  </si>
  <si>
    <t xml:space="preserve">Leybold (Activair s.r.o.)</t>
  </si>
  <si>
    <t xml:space="preserve">ISO</t>
  </si>
  <si>
    <t xml:space="preserve">DN 400</t>
  </si>
  <si>
    <t xml:space="preserve">Leybold (Tevak s.r.o.)</t>
  </si>
  <si>
    <t xml:space="preserve">DN 63</t>
  </si>
  <si>
    <t xml:space="preserve">G 1/8"</t>
  </si>
  <si>
    <t xml:space="preserve">DN 200</t>
  </si>
  <si>
    <t xml:space="preserve">DN 50</t>
  </si>
  <si>
    <t xml:space="preserve">DN 320</t>
  </si>
  <si>
    <t xml:space="preserve">DN 500</t>
  </si>
  <si>
    <t xml:space="preserve">NW=ISO KF</t>
  </si>
  <si>
    <t xml:space="preserve">Property name</t>
  </si>
  <si>
    <t xml:space="preserve">Catalogue Item name</t>
  </si>
  <si>
    <t xml:space="preserve">Catalogue item description</t>
  </si>
  <si>
    <t xml:space="preserve">Manufacturer part/catalog number</t>
  </si>
  <si>
    <t xml:space="preserve">ManufacturerURL</t>
  </si>
  <si>
    <t xml:space="preserve">Property type</t>
  </si>
  <si>
    <t xml:space="preserve">Text</t>
  </si>
  <si>
    <t xml:space="preserve">TextArea</t>
  </si>
  <si>
    <t xml:space="preserve">External List</t>
  </si>
  <si>
    <t xml:space="preserve">List of values (; separated)</t>
  </si>
  <si>
    <t xml:space="preserve">Default value</t>
  </si>
  <si>
    <t xml:space="preserve">Allow custom value</t>
  </si>
  <si>
    <t xml:space="preserve">Unit type</t>
  </si>
  <si>
    <t xml:space="preserve">Category group</t>
  </si>
  <si>
    <t xml:space="preserve">General properties</t>
  </si>
  <si>
    <t xml:space="preserve">Category</t>
  </si>
  <si>
    <t xml:space="preserve">Parent category</t>
  </si>
  <si>
    <t xml:space="preserve">text</t>
  </si>
  <si>
    <t xml:space="preserve">Vacuum Technology</t>
  </si>
  <si>
    <t xml:space="preserve">Inlet flange type</t>
  </si>
  <si>
    <t xml:space="preserve">Inlet flange size </t>
  </si>
  <si>
    <t xml:space="preserve">Outlet flange type</t>
  </si>
  <si>
    <t xml:space="preserve">Outlet flange size</t>
  </si>
  <si>
    <t xml:space="preserve">Coolling</t>
  </si>
  <si>
    <t xml:space="preserve">Power consumption</t>
  </si>
  <si>
    <t xml:space="preserve">List</t>
  </si>
  <si>
    <t xml:space="preserve">Number</t>
  </si>
  <si>
    <t xml:space="preserve">ISO-KF;ISO-F;ISO-K;CF-F</t>
  </si>
  <si>
    <t xml:space="preserve">DN 16;DN 25;DN 40;DN 100;DN 160;DN 250;DN 400</t>
  </si>
  <si>
    <t xml:space="preserve">Water; Air</t>
  </si>
  <si>
    <t xml:space="preserve">Vacuum pumps</t>
  </si>
  <si>
    <t xml:space="preserve">W</t>
  </si>
  <si>
    <t xml:space="preserve">Flanges</t>
  </si>
  <si>
    <t xml:space="preserve">Other</t>
  </si>
  <si>
    <t xml:space="preserve">Pumping speed for N2</t>
  </si>
  <si>
    <t xml:space="preserve">Magnet; Ball bearings; Hybrid</t>
  </si>
  <si>
    <t xml:space="preserve">Turbomolecular pumps</t>
  </si>
  <si>
    <t xml:space="preserve">L/sec</t>
  </si>
  <si>
    <t xml:space="preserve">TMP parameters</t>
  </si>
  <si>
    <t xml:space="preserve">Example EUN</t>
  </si>
  <si>
    <t xml:space="preserve">ATH 1603 M, DN 250 ISO-F</t>
  </si>
  <si>
    <t xml:space="preserve">ATH 1603 M, DN 250 ISO-F, with integrated drive electronics OBC V4, DeviceNet, water-cooled, non-heated
5-axis magnetically levitated turbopump with drag stage for a pump speed of up to 1400 l/s for N2
DN 250 ISO-F inlet flange
Operation with OBC V4 integrated drive electronics
Installation in any orientation
DeviceNet, Water cooled, Non-heated
CE marked and ROHS compliant</t>
  </si>
  <si>
    <t xml:space="preserve">YE66215A</t>
  </si>
  <si>
    <t xml:space="preserve">https://webportal.pfeiffer-vacuum.com/en/shop/product/YE66215A</t>
  </si>
  <si>
    <t xml:space="preserve">ATH 1603 M, DN 200 CF-F</t>
  </si>
  <si>
    <t xml:space="preserve"> 5-axis magnetically levitated turbopump with drag stage for a pump speed of up to 1360 l/s for N2
    DN 200 CF-F flange for demanding UHV applications
    Operation with OBC V4 integrated drive electronics
    Installation in any orientation
    Remote, Water cooled, Non-heated
    CE marked and ROHS compliant</t>
  </si>
  <si>
    <t xml:space="preserve">YC52215A</t>
  </si>
  <si>
    <t xml:space="preserve">https://webportal.pfeiffer-vacuum.com/en/shop/search?text=YC52215A</t>
  </si>
  <si>
    <t xml:space="preserve">ATH 2303 M, DN 250 ISO-F</t>
  </si>
  <si>
    <t xml:space="preserve">5-axis magnetically levitated turbopump with drag stage for a pump speed of up to 2150 l/s for N2
DN 250 ISO-F inlet flange
Operation with OBC V4 integrated drive electronics
Installation in any orientation
Remote, Water cooled, Non-heated
CE marked and ROHS compliant</t>
  </si>
  <si>
    <t xml:space="preserve">TMBBA662405A</t>
  </si>
  <si>
    <t xml:space="preserve">http://www.pfeiffer-vacuum.com/products/turbopumps/magnetically-levitated/ath-2300-m/onlinecatalog.action?detailPdoId=12686</t>
  </si>
  <si>
    <t xml:space="preserve">HiPace 300 M, DN 100, CF-F</t>
  </si>
  <si>
    <t xml:space="preserve">5-axis magnetically levitated turbopump with a pumping speed of 255 l/s for N2
Integrated digital magnetic bearing controller TM 700
Installation in any orientation; flexible through connectivity of up to 4 accessory parts
With integrated water cooling for maximum gas throughput
Interfaces: RS-485, Remote (Profibus/DeviceNet on request)
The turbopump features extremely low vibration and is oil-free
With In-field sensor calibration
Including venting valve for pulsed venting
Protection Class: IP 54
Extensive accessories expand the range of applications</t>
  </si>
  <si>
    <t xml:space="preserve">PM P03 952</t>
  </si>
  <si>
    <t xml:space="preserve">http://www.pfeiffer-vacuum.com/products/turbopumps/magnetically-levitated/hipace-300-m/onlinecatalog.action?detailPdoId=12158#product-downloads</t>
  </si>
  <si>
    <t xml:space="preserve">HiPace 300 H, DN 100, ISO-K</t>
  </si>
  <si>
    <t xml:space="preserve">Rugged, powerful turbopump with a pumping speed of up to 260 l/s for N2
Extremely high compression, especially for light gases. Ideal for the generation of an ultra high vacuum
Integrated TC 110 drive electronics
For installation in any orientation
Extensive accessories expand the range of applications
H=Version with extra high compression ratio</t>
  </si>
  <si>
    <t xml:space="preserve">PM P05 540</t>
  </si>
  <si>
    <t xml:space="preserve">https://www.pfeiffer-vacuum.com/en/products/vacuum-generation/turbopumps/hybrid-bearing/hipace-300/15900/hipace-300-h-with-tc-110-dn-100-iso-k</t>
  </si>
  <si>
    <t xml:space="preserve">HiPace 300 with TC 400, DN 100, CF-F</t>
  </si>
  <si>
    <t xml:space="preserve">Rugged, powerful turbopump with a pumping speed of up to 260 l/s for N2
    Integrated TC 400 drive electronics
    Ideal for UHV applications
    For installation in any orientation
    With integrated water cooling for maximum gas throughput
    Flexible through the ability to employ up to 4 accessories
    Ideal for fast cycles
    Extensive accessories expand the range of applications</t>
  </si>
  <si>
    <t xml:space="preserve">PM P03 901</t>
  </si>
  <si>
    <t xml:space="preserve">https://www.pfeiffer-vacuum.com/en/products/vacuum-generation/turbopumps/hybrid-bearing/hipace-300/4501/hipace-300-with-tc-400-dn-100-cf-f</t>
  </si>
  <si>
    <t xml:space="preserve">HiPace 300 with TC 400, DN 100, ISO-F</t>
  </si>
  <si>
    <t xml:space="preserve">PM P03 902</t>
  </si>
  <si>
    <t xml:space="preserve">https://www.pfeiffer-vacuum.com/en/products/vacuum-generation/turbopumps/hybrid-bearing/hipace-300/4502/hipace-300-with-tc-400-dn-100-iso-f</t>
  </si>
  <si>
    <t xml:space="preserve">HiPace 80 with TC 110, DN 63, CF-F</t>
  </si>
  <si>
    <t xml:space="preserve">    Small yet powerful turbopump with a pumping speed of up to 67 l/s for N2
    Integrated TC 110 drive electronics
    For installation in any orientation
    Ideal for dependable systems integration
    Extensive accessories expand the range of applications</t>
  </si>
  <si>
    <t xml:space="preserve">PM P03 941 A</t>
  </si>
  <si>
    <t xml:space="preserve">https://webportal.pfeiffer-vacuum.com/en/shop/product/PM_P03_941_A</t>
  </si>
  <si>
    <t xml:space="preserve">HiCube 80 Eco (HiPace 80 + MVP 015-4), DN 63, ISO-K</t>
  </si>
  <si>
    <t xml:space="preserve">    Compact high performance pumping station for all high and ultrahigh vacuum applications
    Plug and play solution with HiPace 80 turbopump and multistage diaphragm pump MVP 015-4
    Intermittent mode adapts the pumping station to the process conditions and saves up to 90% energy
    Easy integration of pressure gauges from the accessories</t>
  </si>
  <si>
    <t xml:space="preserve">PM S74 150 00</t>
  </si>
  <si>
    <t xml:space="preserve">https://www.pfeiffer-vacuum.com/en/products/vacuum-generation/pumping-stations/turbo-pumping-stations/hicube-eco/20020/hicube-80-eco-dn-63-iso-k-mvp-015-4</t>
  </si>
  <si>
    <t xml:space="preserve">HiCube 80 Eco (HiPace 80 + MVP 015-4), DN 63, CF-F</t>
  </si>
  <si>
    <t xml:space="preserve">PM S75 150 00</t>
  </si>
  <si>
    <t xml:space="preserve">https://www.pfeiffer-vacuum.com/en/products/vacuum-generation/pumping-stations/turbo-pumping-stations/hicube-eco/20023/hicube-80-eco-dn-63-cf-f-mvp-015-4</t>
  </si>
  <si>
    <t xml:space="preserve">HiCube 300 Eco (HiPace 300 + MVP 030-3), DN 100, ISO-K</t>
  </si>
  <si>
    <t xml:space="preserve">    Compact high performance pumping station for all high and ultrahigh vacuum applications
    Plug and play solution with HiPace 300 turbopump and multistage diaphragm pump MVP 030-3
    Intermittent mode adapts the pumping station to the process conditions and saves up to 90% energy
    Easy integration of pressure gauges from the accessories</t>
  </si>
  <si>
    <t xml:space="preserve">PM S76 200 00</t>
  </si>
  <si>
    <t xml:space="preserve">https://webportal.pfeiffer-vacuum.com/en/shop/product/PM_S76_200_00</t>
  </si>
  <si>
    <t xml:space="preserve">HiPace700 with TC 400, DN 160, CF-F</t>
  </si>
  <si>
    <t xml:space="preserve">    Compact yet powerful turbopump with a pumping speed of up to 685 l/s for N2
    Maximum vacuum performance with minimum power consumption
    For installation in any orientation
    Integrated TC 400 drive electronics
    Integrated, powerful cooling system
    DN 160 CF-F flange for demanding UHV applications</t>
  </si>
  <si>
    <t xml:space="preserve">PM P03 934</t>
  </si>
  <si>
    <t xml:space="preserve">https://webportal.pfeiffer-vacuum.com/en/shop/product/PM_P03_934</t>
  </si>
  <si>
    <t xml:space="preserve">STP-iXA3306C ISO320F</t>
  </si>
  <si>
    <t xml:space="preserve">The STP-iXA3306 series magnetically levitated turbomolecular pump provides industry-leading performance and incorporates a small power supply into the onboard control unit – the latest technology of the well-established STPiXA3305 series.
The height of the pump is equal to the STP-XA2703/XA3203 and is also equal to the height of the STP-iXA3305 series without its power supply (iPS-1200). This fully integrated product offers easy installation and a small footprint as an all-in-one solution for all application tools. </t>
  </si>
  <si>
    <t xml:space="preserve">YT820Z040</t>
  </si>
  <si>
    <t xml:space="preserve">https://shop.edwardsvacuum.com/products/yt820z040/view.aspx</t>
  </si>
  <si>
    <t xml:space="preserve">STP-XA3203C ISO320F</t>
  </si>
  <si>
    <t xml:space="preserve">The STP-XA3203C turbo pump offers high performance in the process range of high vacuum to 2300 sccm process flow with enhanced throughput for all gases. 
This pump is based on a new platform design offering features to improve thermal management, which enhances performance on harsh processes, increases the maximum process flow capability and reduces the effects of corrosion and deposition.
The outstanding performance is suited to both light and harsh applications, such as semiconductor etch, implant, lithography and LCD processes. </t>
  </si>
  <si>
    <t xml:space="preserve">YT660Z050</t>
  </si>
  <si>
    <t xml:space="preserve">https://shop.edwardsvacuum.com/products/yt660z050/view.aspx</t>
  </si>
  <si>
    <t xml:space="preserve">STP-iXA4506C ISO320F</t>
  </si>
  <si>
    <t xml:space="preserve">    The fully integrated controller and power supply eliminates the need for cables and a separate
    controller rack, resulting in a cost effective, compact TMP package that is fast and easy to install in a small footprint.
    Maximum continuous flow capability of 4300 sccm (N2), achieving a performance increase of more than 50%, when compared to STP-XA4503.
    The pump will operate efficiently with cooling water supply up to 35 °C.
    Temperature Management System (TMS) unit is available for processes generating by-products.
    I/O Remote, RS232C, RS485, STP-Link are standard ports.
    UL marked, CE marked, SEMI-S2 and RoHS compliant.</t>
  </si>
  <si>
    <t xml:space="preserve">YT780Z000</t>
  </si>
  <si>
    <t xml:space="preserve">https://shop.edwardsvacuum.com/products/YT780Z000/view.aspx</t>
  </si>
  <si>
    <t xml:space="preserve">TP-iXA3306C ISO250F</t>
  </si>
  <si>
    <t xml:space="preserve">The STP-iXA3306 series magnetically levitated turbomolecular pump provides industry-leading performance and incorporates a small power supply into the onboard control unit – the latest technology of the well-established STPiXA3305 series.
The height of the pump is equal to the STP-XA2703/XA3203 and is also equal to the height of the STP-iXA3305 series without its power supply (iPS-1200). This fully integrated product offers easy installation and a small footprint as an all-in-one solution for all application tools.</t>
  </si>
  <si>
    <t xml:space="preserve">YT820Z020</t>
  </si>
  <si>
    <t xml:space="preserve">https://shop.edwardsvacuum.com/products/YT820Z020/view.aspx</t>
  </si>
  <si>
    <t xml:space="preserve">nEXT300D ISO100</t>
  </si>
  <si>
    <t xml:space="preserve">The nEXT is a hybrid bearing compound turbomolecular pump. nEXT pumps combine our proven bearing technology (oil lubricated ceramic lower bearing with dry permanent magnetic upper bearing), an improved rotor design with a new molecular drag stage to deliver improved pumping speed and compression ratios, and user serviceability. They feature 24 V to 48 V d.c. sensor less motors with a built in drive that is fully compatible with our range of TAG and TIC controllers. They are available pre-set for either 80 W or 160 W maximum power, the former enabling use with our 100 W TIC controllers are also recommended for pumping Argon, but with a longer ramp time to full operating speed.</t>
  </si>
  <si>
    <t xml:space="preserve">B82200100</t>
  </si>
  <si>
    <t xml:space="preserve">https://shop.edwardsvacuum.com/products/b82200100/view.aspx</t>
  </si>
  <si>
    <t xml:space="preserve">nEXT400D ISO160</t>
  </si>
  <si>
    <t xml:space="preserve">B83200300</t>
  </si>
  <si>
    <t xml:space="preserve">https://shop.edwardsvacuum.com/products/b83200300/view.aspx</t>
  </si>
  <si>
    <t xml:space="preserve">TURBOVAC MAG W 2200 iP</t>
  </si>
  <si>
    <t xml:space="preserve">Pumping speed up to 2,200 l/s
High pumping speed and high compression ratios for all gases
Holweck stage incorporated
Resistant to particles and deposits
Insensitive to shock-venting
Monitoring and self-protection functions
Maintenance-free in most applications</t>
  </si>
  <si>
    <t xml:space="preserve">412200V0504</t>
  </si>
  <si>
    <t xml:space="preserve">https://www.leyboldproducts.com/products/high-vacuum-pumpscryo-technology/turbovac-turbovac-mag/turbovac-magintegra/pumps/675/turbovac-mag-w-2200-ip</t>
  </si>
  <si>
    <t xml:space="preserve">TURBOVAC MAG W 3200 CT</t>
  </si>
  <si>
    <t xml:space="preserve">Accuracy, precision and reliability those are the features of these magnetically-levitated turbomolecular pumps. High pumping speed and gas throughput for faster pump down time improve equipment cycle times. With its fully integrated converter and power supply, conventional rack-mounted controller and interconnecting cables are no longer necessary</t>
  </si>
  <si>
    <t xml:space="preserve">400003V0002</t>
  </si>
  <si>
    <t xml:space="preserve">https://www.provac.ie/product/turbovac-mag-w-3200-ct/
https://www.ptbsales.com/leybold-turbovac-mag-w-3200-ct-rebuilt.html</t>
  </si>
  <si>
    <t xml:space="preserve">TURBOVAC 90 i/iX</t>
  </si>
  <si>
    <t xml:space="preserve">Pumping speed up to 1.450 l/s
Oil free hybrid bearings (mechanical/permanent magnetic)
Installation in any orientation
Integrated electronics including a variety of options for communication
and control of accessory components
TURBO.CONTROL i display unit (optionally as rack version or benchtop unit)
to control and monitor the pump including connection facility for two pressure
gauges available as accessory</t>
  </si>
  <si>
    <t xml:space="preserve">  810031V3300</t>
  </si>
  <si>
    <t xml:space="preserve">https://www.leyboldproducts.com/products/high-vacuum-pumpscryo-technology/turbovac-turbovac-mag/turbovac-i-ix-hybrid-bearings/pumps/734/turbovac-90-i/ix</t>
  </si>
  <si>
    <t xml:space="preserve">Peak pumping speed</t>
  </si>
  <si>
    <t xml:space="preserve">Ultimate vacuum </t>
  </si>
  <si>
    <t xml:space="preserve">Dry vacuum pumps</t>
  </si>
  <si>
    <t xml:space="preserve">m3/hod</t>
  </si>
  <si>
    <t xml:space="preserve">mbar</t>
  </si>
  <si>
    <t xml:space="preserve">Pump parameters</t>
  </si>
  <si>
    <t xml:space="preserve">nXDS20i </t>
  </si>
  <si>
    <t xml:space="preserve">Lubricant-free within the vacuum envelope and hermetically sealed means totally clean and dry vacuum to prevent cross contamination
No atmosphere to vacuum shaft seals means bearings are completely isolated, which prevents process attack and means the bearings run cooler and last longer
Simple single sided scroll arrangement combined with an innovative motor and bearing design allows for easy field service with a minimum of special tooling for low cost of ownership and maximum up-time
Improved motor and drive efficiencies for reduced power and cost of ownership
Advanced interface provides a variety of traditional, analogue and digital control methods enabling remote control/monitoring via USB, RS232 or RS485</t>
  </si>
  <si>
    <t xml:space="preserve">A73801983</t>
  </si>
  <si>
    <t xml:space="preserve">https://www.activair.cz/en/products/vacuum-pumps/dry-vacuum-pumps-for-laboratory-r-d/nxds-scroll-pumps/nxds20i</t>
  </si>
  <si>
    <t xml:space="preserve">DN25</t>
  </si>
  <si>
    <t xml:space="preserve">nXDS10i </t>
  </si>
  <si>
    <t xml:space="preserve">Bearing shield ensures separation between process gases and bearing lubrication to ensure clean vacuum and no possibility of contamination to lubrication from process gases, which prolongs bearing life.
·       Advanced scroll-form and tip-seal technologies -  deliver best‑in-class vacuum performance and unrivalled ultimate vacuum levels. 
·       Unique tip seal design - significantly reduces wear to minimise maintenance and extend service life. 
·       Quiet operation - with typical noise during operation &lt; 52 dB(A) for minimal environmental impact. 
·       Advanced interface - providing a variety of traditional and analogue and digital control methods enabling remote control/monitoring via RS232 or RS485. 
·       Integrated smart drive - with auto sensing input delivers optimised pumping performance globally. 
·       Pump range - includes 6, 10, 15 and 20 m3h-1</t>
  </si>
  <si>
    <t xml:space="preserve">A73601983</t>
  </si>
  <si>
    <t xml:space="preserve">https://shop.edwardsvacuum.com/products/A73601983/view.aspx</t>
  </si>
  <si>
    <t xml:space="preserve"> ADS602P</t>
  </si>
  <si>
    <t xml:space="preserve">The Alcatel Adixen ADP ADS Series Two Dry Pumps were designed to minimize potential residue deposits.  This process is achieved by internal gas limitation, diluting the gas on each pump stage with N2, and adjusting the temperature in order to control gas condensation.
P versions for light/medium applications
The Alcatel Adixen ADP ADS Series Two Dry Pumps offer M4 Monitoring, which consists of an electrical cabinet, hand held remote control, and an electronic cabinet. The ADP ADS Series Two Dry Pumps M4 Monitoring can be interfaced with the main production equipment.
Clean: oil-free, dry pump providing no risk of contamination.
Quiet: all models include an integrated silencer.
Low power consumption.
Nitrogen Purge levels can be easily controlled by the user.</t>
  </si>
  <si>
    <t xml:space="preserve">P2WW300001102</t>
  </si>
  <si>
    <t xml:space="preserve">https://www.ajvs.com/new/product_info.php?products_id=7511</t>
  </si>
  <si>
    <t xml:space="preserve">DN40</t>
  </si>
  <si>
    <t xml:space="preserve"> ACP 15</t>
  </si>
  <si>
    <t xml:space="preserve">Dry multi-stage Roots technology, SD versions, ACP pumps with a pumping speed of max. 15 m3/h
    No particle contamination, thanks to frictionless design: no wearing parts in the pumped gases path
    No hydrocarbon vapors backstreaming: ACP series pumps are free of lubricant inside the pumping module
    Constant performances (Pumping speed, max. and ultimate pressure)
    High reliability: thanks to our expertise of dry multi-stage Roots pumps since 1988
    Low maintenance costs: no annual field service, complete overhaul only every 20000 hours for ACP 15
    Condensable vapor ability: with gas ballast ports and drainable silencer</t>
  </si>
  <si>
    <t xml:space="preserve">CKF00040</t>
  </si>
  <si>
    <t xml:space="preserve">https://www.pfeiffer-vacuum.com/en/products/vacuum-generation/multi-stage-roots-pumps/light-duty-applications/air-cooled/low-noise-acp-kits/32098/low-noise-kit-acp-15</t>
  </si>
  <si>
    <t xml:space="preserve">ACP 28</t>
  </si>
  <si>
    <t xml:space="preserve">Dry multi-stage Roots technology, SD versions, ACP pumps with a pumping speed of max. 27 m3/h
    No particle contamination, thanks to frictionless design: no wearing parts in the pumped gases path
    No hydrocarbon vapors backstreaming: ACP series pumps are free of lubricant inside the pumping module
    Constant performances (Pumping speed, max. and ultimate pressure)
    High reliability: thanks to our expertise of dry multi-stage Roots pumps since 1988
    Low maintenance costs: no annual field service, complete overhaul only every 20000 hours for ACP 15
    Condensable vapor ability: with gas ballast ports and drainable silencer</t>
  </si>
  <si>
    <t xml:space="preserve">CKF00042</t>
  </si>
  <si>
    <t xml:space="preserve">https://www.pfeiffer-vacuum.com/en/products/vacuum-generation/multi-stage-roots-pumps/light-duty-applications/air-cooled/low-noise-acp-kits/32099/low-noise-kit-acp-28</t>
  </si>
  <si>
    <t xml:space="preserve">ACP 40</t>
  </si>
  <si>
    <t xml:space="preserve">    Dry multi-stage Roots technology, SD versions, ACP pumps with a Pumping speed of max. 40 m3/h
    No particle contamination, thanks to frictionless design: no wearing parts in the pumped gases path
    No hydrocarbon vapors backstreaming: ACP series pumps are free of lubricant inside the pumping module
    Constant performances (Pumping speed, max. and ultimate pressure)
    High reliability : thanks to our expertise of dry multi-stage Roots pumps since 1988
    Low maintenance costs: no annual field service, complete overhaul only every 22000 hours for ACP 28/40
    Condensable vapor ability: with gas ballast ports and drainable silencer. ACP series pumps can handle up to 100 g/h of pure water vapor</t>
  </si>
  <si>
    <t xml:space="preserve">V8SACSGEMF</t>
  </si>
  <si>
    <t xml:space="preserve">https://www.pfeiffer-vacuum.com/en/products/vacuum-generation/multi-stage-roots-pumps/light-duty-applications/air-cooled/sd-versions/12287/acp-40-standard-single-phase-manual-gas-ballast</t>
  </si>
  <si>
    <t xml:space="preserve">GXS160/1750 LD SE</t>
  </si>
  <si>
    <t xml:space="preserve">    Designed for high reliability
    Adaptable to a wide range of applications
    Long service interval and easy swap-out
    Low cost of ownership
    Minimum workplace and environmental impact
    Simple to install and operate
    Ideal for integration into larger systems</t>
  </si>
  <si>
    <t xml:space="preserve">GS510005</t>
  </si>
  <si>
    <t xml:space="preserve">https://shop.edwardsvacuum.com/products/gs510005/view.aspx</t>
  </si>
  <si>
    <t xml:space="preserve">GXS250 LD SE</t>
  </si>
  <si>
    <t xml:space="preserve">GS710002</t>
  </si>
  <si>
    <t xml:space="preserve">https://shop.edwardsvacuum.com/Products/View.aspx?sku=GS710002</t>
  </si>
  <si>
    <t xml:space="preserve">GXS450/2600F LD SE</t>
  </si>
  <si>
    <t xml:space="preserve">GSF150000000</t>
  </si>
  <si>
    <t xml:space="preserve">https://shop.edwardsvacuum.com/Products/View.aspx?sku=GSF150000000</t>
  </si>
  <si>
    <t xml:space="preserve">GXS750/4200F LD SE</t>
  </si>
  <si>
    <t xml:space="preserve">GSP150000000</t>
  </si>
  <si>
    <t xml:space="preserve">https://shop.edwardsvacuum.com/Products/View.aspx?sku=GSP150000000</t>
  </si>
  <si>
    <t xml:space="preserve">ECODRY 40 plus</t>
  </si>
  <si>
    <t xml:space="preserve">The ECODRY plus is a family of dry-compression multi-stage Roots vacuum pumps, which sets new standards in noise reduction. The pumps have been specially designed for use in quiet and clean environments, such as analysis and research laboratories. ECODRY plus provide clean vacuum at maximum pumping speeds of 40 and 55 m³/h while creating  low noise levels. They deliver stable vacuum performance for many years without maintenance.
The pumps are based on the multi-stage Roots pumping principle with two contactless rotating rotors turning in opposite direction. Through their rotation the gas is moved from the inlet to the exhaust. By the effect of multiple pumping stages the gas is compressed from medium vacuum range to ambient pressure.
The products are standing out due to the following features:
    Quiet – With the integrated acoustic insulation and silencer the noise level of these pumps is lower than 52 dB(A) - quieter than a normal conversation.
    Clean – With an oil-free suction chamber and wear-free operation, neither oil vapors nor particles are contaminating the vacuum chamber or the environment.
    Maintenance-free – Changing oil or seals is not required - the pumps deliver stable vacuum performance for many years without maintenance.
    Easy to use – The pumps are compact, powered by regular single-phase sockets, air-cooled and easy to reposition by integrated wheels.</t>
  </si>
  <si>
    <t xml:space="preserve">161040V22</t>
  </si>
  <si>
    <t xml:space="preserve">https://www.leyboldproducts.de/en/products/dry-compressing-vacuum-pumps/ecodry-plus/pumps/2678/ecodry-40-plus</t>
  </si>
  <si>
    <t xml:space="preserve">Ecodry 65 plus</t>
  </si>
  <si>
    <t xml:space="preserve">161065V22</t>
  </si>
  <si>
    <t xml:space="preserve">https://www.leyboldproducts.de/en/products/dry-compressing-vacuum-pumps/ecodry-plus/pumps/2679/ecodry-65-plus?c=15258</t>
  </si>
  <si>
    <t xml:space="preserve">H2O pumping speed</t>
  </si>
  <si>
    <t xml:space="preserve">H2 pumping speed</t>
  </si>
  <si>
    <t xml:space="preserve">Cooldown time</t>
  </si>
  <si>
    <t xml:space="preserve">Cryopumps</t>
  </si>
  <si>
    <t xml:space="preserve">min</t>
  </si>
  <si>
    <t xml:space="preserve">COOLVAC 10000</t>
  </si>
  <si>
    <t xml:space="preserve">COOLVAC vacuum pumps are refrigerator cryo pumps which generate a vacuum when gaseous substances are bound to the cold surfaces within the pump by means of cryocondensation. Because of the pumping principle COOLVAC cryo pumps have a high effective pumping speed for all gases. COOLVAC vacuum pumps produce a hydro carbon free ultra high vacuum inthe pressure range from 10-3 mbar to 10-11 mbar (0.75•10-3 to 0.75•10-11 Torr)</t>
  </si>
  <si>
    <t xml:space="preserve">Leybold (Tevak)</t>
  </si>
  <si>
    <t xml:space="preserve">844502Vwxyz</t>
  </si>
  <si>
    <t xml:space="preserve">https://www.leyboldproducts.com/products/high-vacuum-pumpscryo-technology/coolvac-coolpower-coolpak/coolvac-cryo-pumps/coolvac-cryo-pumps/3312/coolvac-10000</t>
  </si>
  <si>
    <t xml:space="preserve">MVP 015-2, diaphragm pump, 100–236 V, 50/60 Hz</t>
  </si>
  <si>
    <t xml:space="preserve">PK T05 100 </t>
  </si>
  <si>
    <t xml:space="preserve">https://webportal.pfeiffer-vacuum.com/en/shop/product/PK_T05_100</t>
  </si>
  <si>
    <t xml:space="preserve">MVP 015-4, diaphragm pump, 230 V, 50 Hz</t>
  </si>
  <si>
    <t xml:space="preserve">PK T05 065</t>
  </si>
  <si>
    <t xml:space="preserve">https://www.pfeiffer-vacuum.com/en/products/vacuum-generation/diaphragm-pumps/for-rough-vacuum/2644/mvp-015-4-diaphragm-pump-230-v-50-hz</t>
  </si>
  <si>
    <t xml:space="preserve">MVP 030-3 DC, diaphragm pump, 24 V DC</t>
  </si>
  <si>
    <t xml:space="preserve">PK T01 500</t>
  </si>
  <si>
    <t xml:space="preserve">https://www.pfeiffer-vacuum.com/en/products/vacuum-generation/diaphragm-pumps/as-backing-pump-for-hipace-turbopumps/30880/mvp-030-3-dc-diaphragm-pump-24-v-dc</t>
  </si>
</sst>
</file>

<file path=xl/styles.xml><?xml version="1.0" encoding="utf-8"?>
<styleSheet xmlns="http://schemas.openxmlformats.org/spreadsheetml/2006/main">
  <numFmts count="2">
    <numFmt numFmtId="164" formatCode="General"/>
    <numFmt numFmtId="165" formatCode="General"/>
  </numFmts>
  <fonts count="8">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1"/>
      <color rgb="FF111827"/>
      <name val="Arial"/>
      <family val="2"/>
      <charset val="1"/>
    </font>
    <font>
      <b val="true"/>
      <sz val="15"/>
      <color rgb="FF000000"/>
      <name val="Calibri"/>
      <family val="2"/>
      <charset val="1"/>
    </font>
    <font>
      <u val="single"/>
      <sz val="11"/>
      <color rgb="FF0563C1"/>
      <name val="Calibri"/>
      <family val="2"/>
      <charset val="1"/>
    </font>
  </fonts>
  <fills count="4">
    <fill>
      <patternFill patternType="none"/>
    </fill>
    <fill>
      <patternFill patternType="gray125"/>
    </fill>
    <fill>
      <patternFill patternType="solid">
        <fgColor rgb="FFFFFFFF"/>
        <bgColor rgb="FFFFF2CC"/>
      </patternFill>
    </fill>
    <fill>
      <patternFill patternType="solid">
        <fgColor rgb="FFE7E6E6"/>
        <bgColor rgb="FFFFF2CC"/>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5" fontId="0" fillId="3" borderId="0" xfId="0" applyFont="false" applyBorder="false" applyAlignment="true" applyProtection="false">
      <alignment horizontal="left" vertical="center" textRotation="0" wrapText="false" indent="0" shrinkToFit="false"/>
      <protection locked="true" hidden="false"/>
    </xf>
    <xf numFmtId="165" fontId="0" fillId="3" borderId="0" xfId="0" applyFont="false" applyBorder="false" applyAlignment="true" applyProtection="false">
      <alignment horizontal="center" vertical="center" textRotation="0" wrapText="true" indent="0" shrinkToFit="false"/>
      <protection locked="true" hidden="false"/>
    </xf>
    <xf numFmtId="165" fontId="0" fillId="3" borderId="0" xfId="0" applyFont="fals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7" fillId="0" borderId="0" xfId="2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7" fillId="0" borderId="0" xfId="20"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7E6E6"/>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827"/>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
</Relationships>
</file>

<file path=xl/worksheets/_rels/sheet6.xml.rels><?xml version="1.0" encoding="UTF-8"?>
<Relationships xmlns="http://schemas.openxmlformats.org/package/2006/relationships"><Relationship Id="rId1" Type="http://schemas.openxmlformats.org/officeDocument/2006/relationships/hyperlink" Target="https://webportal.pfeiffer-vacuum.com/en/shop/product/YE66215A" TargetMode="External"/><Relationship Id="rId2" Type="http://schemas.openxmlformats.org/officeDocument/2006/relationships/hyperlink" Target="https://webportal.pfeiffer-vacuum.com/en/shop/search?text=YC52215A" TargetMode="External"/><Relationship Id="rId3" Type="http://schemas.openxmlformats.org/officeDocument/2006/relationships/hyperlink" Target="http://www.pfeiffer-vacuum.com/products/turbopumps/magnetically-levitated/ath-2300-m/onlinecatalog.action?detailPdoId=12686" TargetMode="External"/><Relationship Id="rId4" Type="http://schemas.openxmlformats.org/officeDocument/2006/relationships/hyperlink" Target="http://www.pfeiffer-vacuum.com/products/turbopumps/magnetically-levitated/hipace-300-m/onlinecatalog.action?detailPdoId=12158" TargetMode="External"/><Relationship Id="rId5" Type="http://schemas.openxmlformats.org/officeDocument/2006/relationships/hyperlink" Target="https://www.pfeiffer-vacuum.com/en/products/vacuum-generation/turbopumps/hybrid-bearing/hipace-300/15900/hipace-300-h-with-tc-110-dn-100-iso-k" TargetMode="External"/><Relationship Id="rId6" Type="http://schemas.openxmlformats.org/officeDocument/2006/relationships/hyperlink" Target="https://www.pfeiffer-vacuum.com/en/products/vacuum-generation/turbopumps/hybrid-bearing/hipace-300/4501/hipace-300-with-tc-400-dn-100-cf-f" TargetMode="External"/><Relationship Id="rId7" Type="http://schemas.openxmlformats.org/officeDocument/2006/relationships/hyperlink" Target="https://www.pfeiffer-vacuum.com/en/products/vacuum-generation/turbopumps/hybrid-bearing/hipace-300/4502/hipace-300-with-tc-400-dn-100-iso-f" TargetMode="External"/><Relationship Id="rId8" Type="http://schemas.openxmlformats.org/officeDocument/2006/relationships/hyperlink" Target="https://webportal.pfeiffer-vacuum.com/en/shop/product/PM_P03_941_A" TargetMode="External"/><Relationship Id="rId9" Type="http://schemas.openxmlformats.org/officeDocument/2006/relationships/hyperlink" Target="https://www.pfeiffer-vacuum.com/en/products/vacuum-generation/pumping-stations/turbo-pumping-stations/hicube-eco/20020/hicube-80-eco-dn-63-iso-k-mvp-015-4" TargetMode="External"/><Relationship Id="rId10" Type="http://schemas.openxmlformats.org/officeDocument/2006/relationships/hyperlink" Target="https://www.pfeiffer-vacuum.com/en/products/vacuum-generation/pumping-stations/turbo-pumping-stations/hicube-eco/20023/hicube-80-eco-dn-63-cf-f-mvp-015-4" TargetMode="External"/><Relationship Id="rId11" Type="http://schemas.openxmlformats.org/officeDocument/2006/relationships/hyperlink" Target="https://webportal.pfeiffer-vacuum.com/en/shop/product/PM_S76_200_00" TargetMode="External"/><Relationship Id="rId12" Type="http://schemas.openxmlformats.org/officeDocument/2006/relationships/hyperlink" Target="https://webportal.pfeiffer-vacuum.com/en/shop/product/PM_P03_934" TargetMode="External"/><Relationship Id="rId13" Type="http://schemas.openxmlformats.org/officeDocument/2006/relationships/hyperlink" Target="https://shop.edwardsvacuum.com/products/yt820z040/view.aspx" TargetMode="External"/><Relationship Id="rId14" Type="http://schemas.openxmlformats.org/officeDocument/2006/relationships/hyperlink" Target="https://shop.edwardsvacuum.com/products/yt660z050/view.aspx" TargetMode="External"/><Relationship Id="rId15" Type="http://schemas.openxmlformats.org/officeDocument/2006/relationships/hyperlink" Target="https://shop.edwardsvacuum.com/products/YT780Z000/view.aspx" TargetMode="External"/><Relationship Id="rId16" Type="http://schemas.openxmlformats.org/officeDocument/2006/relationships/hyperlink" Target="https://shop.edwardsvacuum.com/products/YT820Z020/view.aspx" TargetMode="External"/><Relationship Id="rId17" Type="http://schemas.openxmlformats.org/officeDocument/2006/relationships/hyperlink" Target="https://shop.edwardsvacuum.com/products/b82200100/view.aspx" TargetMode="External"/><Relationship Id="rId18" Type="http://schemas.openxmlformats.org/officeDocument/2006/relationships/hyperlink" Target="https://shop.edwardsvacuum.com/products/b83200300/view.aspx" TargetMode="External"/><Relationship Id="rId19" Type="http://schemas.openxmlformats.org/officeDocument/2006/relationships/hyperlink" Target="https://www.leyboldproducts.com/products/high-vacuum-pumpscryo-technology/turbovac-turbovac-mag/turbovac-magintegra/pumps/675/turbovac-mag-w-2200-ip" TargetMode="External"/><Relationship Id="rId20" Type="http://schemas.openxmlformats.org/officeDocument/2006/relationships/hyperlink" Target="https://www.provac.ie/product/turbovac-mag-w-3200-ct/" TargetMode="External"/><Relationship Id="rId21" Type="http://schemas.openxmlformats.org/officeDocument/2006/relationships/hyperlink" Target="https://www.leyboldproducts.com/products/high-vacuum-pumpscryo-technology/turbovac-turbovac-mag/turbovac-i-ix-hybrid-bearings/pumps/734/turbovac-90-i/ix"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www.activair.cz/en/products/vacuum-pumps/dry-vacuum-pumps-for-laboratory-r-d/nxds-scroll-pumps/nxds20i" TargetMode="External"/><Relationship Id="rId2" Type="http://schemas.openxmlformats.org/officeDocument/2006/relationships/hyperlink" Target="https://shop.edwardsvacuum.com/products/A73601983/view.aspx" TargetMode="External"/><Relationship Id="rId3" Type="http://schemas.openxmlformats.org/officeDocument/2006/relationships/hyperlink" Target="https://www.ajvs.com/new/product_info.php?products_id=7511" TargetMode="External"/><Relationship Id="rId4" Type="http://schemas.openxmlformats.org/officeDocument/2006/relationships/hyperlink" Target="https://www.pfeiffer-vacuum.com/en/products/vacuum-generation/multi-stage-roots-pumps/light-duty-applications/air-cooled/low-noise-acp-kits/32098/low-noise-kit-acp-15" TargetMode="External"/><Relationship Id="rId5" Type="http://schemas.openxmlformats.org/officeDocument/2006/relationships/hyperlink" Target="https://www.pfeiffer-vacuum.com/en/products/vacuum-generation/multi-stage-roots-pumps/light-duty-applications/air-cooled/low-noise-acp-kits/32099/low-noise-kit-acp-28" TargetMode="External"/><Relationship Id="rId6" Type="http://schemas.openxmlformats.org/officeDocument/2006/relationships/hyperlink" Target="https://www.pfeiffer-vacuum.com/en/products/vacuum-generation/multi-stage-roots-pumps/light-duty-applications/air-cooled/sd-versions/12287/acp-40-standard-single-phase-manual-gas-ballast" TargetMode="External"/><Relationship Id="rId7" Type="http://schemas.openxmlformats.org/officeDocument/2006/relationships/hyperlink" Target="https://shop.edwardsvacuum.com/products/gs510005/view.aspx" TargetMode="External"/><Relationship Id="rId8" Type="http://schemas.openxmlformats.org/officeDocument/2006/relationships/hyperlink" Target="https://shop.edwardsvacuum.com/Products/View.aspx?sku=GS710002" TargetMode="External"/><Relationship Id="rId9" Type="http://schemas.openxmlformats.org/officeDocument/2006/relationships/hyperlink" Target="https://shop.edwardsvacuum.com/Products/View.aspx?sku=GSF150000000" TargetMode="External"/><Relationship Id="rId10" Type="http://schemas.openxmlformats.org/officeDocument/2006/relationships/hyperlink" Target="https://shop.edwardsvacuum.com/Products/View.aspx?sku=GSP150000000" TargetMode="External"/><Relationship Id="rId11" Type="http://schemas.openxmlformats.org/officeDocument/2006/relationships/hyperlink" Target="https://www.leyboldproducts.de/en/products/dry-compressing-vacuum-pumps/ecodry-plus/pumps/2678/ecodry-40-plus" TargetMode="External"/><Relationship Id="rId12" Type="http://schemas.openxmlformats.org/officeDocument/2006/relationships/hyperlink" Target="https://www.leyboldproducts.de/en/products/dry-compressing-vacuum-pumps/ecodry-plus/pumps/2679/ecodry-65-plus?c=15258"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www.leyboldproducts.com/products/high-vacuum-pumpscryo-technology/coolvac-coolpower-coolpak/coolvac-cryo-pumps/coolvac-cryo-pumps/3312/coolvac-10000" TargetMode="External"/>
</Relationships>
</file>

<file path=xl/worksheets/_rels/sheet11.xml.rels><?xml version="1.0" encoding="UTF-8"?>
<Relationships xmlns="http://schemas.openxmlformats.org/package/2006/relationships"><Relationship Id="rId1" Type="http://schemas.openxmlformats.org/officeDocument/2006/relationships/hyperlink" Target="https://webportal.pfeiffer-vacuum.com/en/shop/product/PK_T05_100" TargetMode="External"/><Relationship Id="rId2" Type="http://schemas.openxmlformats.org/officeDocument/2006/relationships/hyperlink" Target="https://www.pfeiffer-vacuum.com/en/products/vacuum-generation/diaphragm-pumps/for-rough-vacuum/2644/mvp-015-4-diaphragm-pump-230-v-50-hz" TargetMode="External"/><Relationship Id="rId3" Type="http://schemas.openxmlformats.org/officeDocument/2006/relationships/hyperlink" Target="https://www.pfeiffer-vacuum.com/en/products/vacuum-generation/diaphragm-pumps/as-backing-pump-for-hipace-turbopumps/30880/mvp-030-3-dc-diaphragm-pump-24-v-dc"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E6" activeCellId="0" sqref="E6"/>
    </sheetView>
  </sheetViews>
  <sheetFormatPr defaultColWidth="8.70703125" defaultRowHeight="15" zeroHeight="false" outlineLevelRow="0" outlineLevelCol="0"/>
  <cols>
    <col collapsed="false" customWidth="true" hidden="false" outlineLevel="0" max="1" min="1" style="0" width="31.86"/>
    <col collapsed="false" customWidth="true" hidden="false" outlineLevel="0" max="5" min="5" style="0" width="12.71"/>
    <col collapsed="false" customWidth="true" hidden="false" outlineLevel="0" max="6" min="6" style="0" width="11.86"/>
  </cols>
  <sheetData>
    <row r="1" customFormat="false" ht="15" hidden="false" customHeight="false" outlineLevel="0" collapsed="false">
      <c r="A1" s="1" t="s">
        <v>0</v>
      </c>
      <c r="C1" s="1" t="s">
        <v>1</v>
      </c>
      <c r="E1" s="1" t="s">
        <v>2</v>
      </c>
      <c r="F1" s="1" t="s">
        <v>3</v>
      </c>
      <c r="H1" s="1" t="s">
        <v>4</v>
      </c>
    </row>
    <row r="2" customFormat="false" ht="15" hidden="false" customHeight="false" outlineLevel="0" collapsed="false">
      <c r="A2" s="0" t="s">
        <v>5</v>
      </c>
      <c r="C2" s="0" t="s">
        <v>6</v>
      </c>
      <c r="E2" s="0" t="s">
        <v>7</v>
      </c>
      <c r="F2" s="0" t="s">
        <v>8</v>
      </c>
      <c r="H2" s="0" t="s">
        <v>9</v>
      </c>
    </row>
    <row r="3" customFormat="false" ht="15" hidden="false" customHeight="false" outlineLevel="0" collapsed="false">
      <c r="A3" s="0" t="s">
        <v>10</v>
      </c>
      <c r="C3" s="0" t="s">
        <v>11</v>
      </c>
      <c r="E3" s="0" t="s">
        <v>12</v>
      </c>
      <c r="F3" s="0" t="s">
        <v>13</v>
      </c>
      <c r="H3" s="0" t="s">
        <v>14</v>
      </c>
    </row>
    <row r="4" customFormat="false" ht="15" hidden="false" customHeight="false" outlineLevel="0" collapsed="false">
      <c r="A4" s="0" t="s">
        <v>15</v>
      </c>
      <c r="E4" s="0" t="s">
        <v>16</v>
      </c>
      <c r="F4" s="0" t="s">
        <v>17</v>
      </c>
      <c r="H4" s="0" t="s">
        <v>18</v>
      </c>
    </row>
    <row r="5" customFormat="false" ht="15" hidden="false" customHeight="false" outlineLevel="0" collapsed="false">
      <c r="A5" s="0" t="s">
        <v>19</v>
      </c>
      <c r="E5" s="0" t="s">
        <v>20</v>
      </c>
      <c r="F5" s="0" t="s">
        <v>21</v>
      </c>
    </row>
    <row r="6" customFormat="false" ht="15" hidden="false" customHeight="false" outlineLevel="0" collapsed="false">
      <c r="A6" s="0" t="s">
        <v>22</v>
      </c>
      <c r="E6" s="0" t="s">
        <v>23</v>
      </c>
      <c r="F6" s="0" t="s">
        <v>24</v>
      </c>
    </row>
    <row r="7" customFormat="false" ht="15" hidden="false" customHeight="false" outlineLevel="0" collapsed="false">
      <c r="A7" s="0" t="s">
        <v>25</v>
      </c>
      <c r="E7" s="0" t="s">
        <v>26</v>
      </c>
      <c r="F7" s="0" t="s">
        <v>27</v>
      </c>
    </row>
    <row r="8" customFormat="false" ht="15" hidden="false" customHeight="false" outlineLevel="0" collapsed="false">
      <c r="A8" s="0" t="s">
        <v>28</v>
      </c>
      <c r="E8" s="0" t="s">
        <v>29</v>
      </c>
      <c r="F8" s="0" t="s">
        <v>30</v>
      </c>
    </row>
    <row r="9" customFormat="false" ht="15" hidden="false" customHeight="false" outlineLevel="0" collapsed="false">
      <c r="A9" s="0" t="s">
        <v>31</v>
      </c>
      <c r="F9" s="0" t="s">
        <v>32</v>
      </c>
    </row>
    <row r="10" customFormat="false" ht="15" hidden="false" customHeight="false" outlineLevel="0" collapsed="false">
      <c r="F10" s="0" t="s">
        <v>33</v>
      </c>
    </row>
    <row r="11" customFormat="false" ht="15" hidden="false" customHeight="false" outlineLevel="0" collapsed="false">
      <c r="F11" s="0" t="s">
        <v>34</v>
      </c>
    </row>
    <row r="12" customFormat="false" ht="15" hidden="false" customHeight="false" outlineLevel="0" collapsed="false">
      <c r="F12" s="0" t="s">
        <v>35</v>
      </c>
    </row>
    <row r="13" customFormat="false" ht="15" hidden="false" customHeight="false" outlineLevel="0" collapsed="false">
      <c r="F13" s="0" t="s">
        <v>36</v>
      </c>
    </row>
    <row r="14" customFormat="false" ht="15" hidden="false" customHeight="false" outlineLevel="0" collapsed="false">
      <c r="F14" s="0" t="s">
        <v>37</v>
      </c>
    </row>
    <row r="22" customFormat="false" ht="15" hidden="false" customHeight="false" outlineLevel="0" collapsed="false">
      <c r="E22" s="0" t="s">
        <v>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G1" activeCellId="0" sqref="G1"/>
    </sheetView>
  </sheetViews>
  <sheetFormatPr defaultColWidth="8.70703125" defaultRowHeight="15" zeroHeight="false" outlineLevelRow="0" outlineLevelCol="0"/>
  <cols>
    <col collapsed="false" customWidth="true" hidden="false" outlineLevel="0" max="1" min="1" style="0" width="24.87"/>
    <col collapsed="false" customWidth="true" hidden="false" outlineLevel="0" max="2" min="2" style="0" width="23.71"/>
    <col collapsed="false" customWidth="true" hidden="false" outlineLevel="0" max="3" min="3" style="0" width="27.99"/>
    <col collapsed="false" customWidth="true" hidden="false" outlineLevel="0" max="4" min="4" style="0" width="18.71"/>
    <col collapsed="false" customWidth="true" hidden="false" outlineLevel="0" max="6" min="5" style="0" width="26.13"/>
  </cols>
  <sheetData>
    <row r="1" customFormat="false" ht="15" hidden="false" customHeight="false" outlineLevel="0" collapsed="false">
      <c r="A1" s="0" t="s">
        <v>39</v>
      </c>
      <c r="B1" s="0" t="s">
        <v>40</v>
      </c>
      <c r="C1" s="0" t="s">
        <v>41</v>
      </c>
      <c r="D1" s="0" t="s">
        <v>0</v>
      </c>
      <c r="E1" s="0" t="s">
        <v>42</v>
      </c>
      <c r="F1" s="0" t="s">
        <v>43</v>
      </c>
    </row>
    <row r="2" customFormat="false" ht="15" hidden="false" customHeight="false" outlineLevel="0" collapsed="false">
      <c r="A2" s="0" t="s">
        <v>44</v>
      </c>
      <c r="B2" s="0" t="s">
        <v>45</v>
      </c>
      <c r="C2" s="0" t="s">
        <v>46</v>
      </c>
      <c r="D2" s="0" t="s">
        <v>47</v>
      </c>
      <c r="E2" s="0" t="s">
        <v>45</v>
      </c>
      <c r="F2" s="0" t="s">
        <v>45</v>
      </c>
    </row>
    <row r="3" customFormat="false" ht="15" hidden="false" customHeight="false" outlineLevel="0" collapsed="false">
      <c r="A3" s="0" t="s">
        <v>48</v>
      </c>
    </row>
    <row r="4" customFormat="false" ht="15" hidden="false" customHeight="false" outlineLevel="0" collapsed="false">
      <c r="A4" s="0" t="s">
        <v>49</v>
      </c>
    </row>
    <row r="5" customFormat="false" ht="15" hidden="false" customHeight="false" outlineLevel="0" collapsed="false">
      <c r="A5" s="0" t="s">
        <v>50</v>
      </c>
    </row>
    <row r="6" customFormat="false" ht="15" hidden="false" customHeight="false" outlineLevel="0" collapsed="false">
      <c r="A6" s="0" t="s">
        <v>51</v>
      </c>
    </row>
    <row r="7" customFormat="false" ht="15" hidden="false" customHeight="false" outlineLevel="0" collapsed="false">
      <c r="A7" s="0" t="s">
        <v>52</v>
      </c>
      <c r="B7" s="0" t="s">
        <v>53</v>
      </c>
      <c r="C7" s="0" t="s">
        <v>53</v>
      </c>
      <c r="D7" s="0" t="s">
        <v>53</v>
      </c>
      <c r="E7" s="0" t="s">
        <v>53</v>
      </c>
      <c r="F7" s="0" t="s">
        <v>53</v>
      </c>
    </row>
  </sheetData>
  <dataValidations count="1">
    <dataValidation allowBlank="true" errorStyle="stop" operator="between" showDropDown="false" showErrorMessage="true" showInputMessage="true" sqref="D3" type="list">
      <formula1>ManufacturerList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4" activeCellId="0" sqref="C4"/>
    </sheetView>
  </sheetViews>
  <sheetFormatPr defaultColWidth="11.5703125" defaultRowHeight="12.8" zeroHeight="false" outlineLevelRow="0" outlineLevelCol="0"/>
  <cols>
    <col collapsed="false" customWidth="true" hidden="false" outlineLevel="0" max="1" min="1" style="0" width="23.38"/>
    <col collapsed="false" customWidth="true" hidden="false" outlineLevel="0" max="3" min="2" style="0" width="18.38"/>
  </cols>
  <sheetData>
    <row r="1" customFormat="false" ht="13.8" hidden="false" customHeight="false" outlineLevel="0" collapsed="false">
      <c r="A1" s="0" t="s">
        <v>39</v>
      </c>
      <c r="B1" s="0" t="s">
        <v>54</v>
      </c>
      <c r="C1" s="0" t="s">
        <v>55</v>
      </c>
    </row>
    <row r="2" customFormat="false" ht="13.8" hidden="false" customHeight="false" outlineLevel="0" collapsed="false">
      <c r="A2" s="0" t="s">
        <v>44</v>
      </c>
      <c r="B2" s="0" t="s">
        <v>56</v>
      </c>
      <c r="C2" s="0" t="s">
        <v>56</v>
      </c>
    </row>
    <row r="3" customFormat="false" ht="13.8" hidden="false" customHeight="false" outlineLevel="0" collapsed="false">
      <c r="A3" s="0" t="s">
        <v>48</v>
      </c>
    </row>
    <row r="4" customFormat="false" ht="13.8" hidden="false" customHeight="false" outlineLevel="0" collapsed="false">
      <c r="A4" s="0" t="s">
        <v>49</v>
      </c>
      <c r="B4" s="0" t="s">
        <v>57</v>
      </c>
    </row>
    <row r="5" customFormat="false" ht="13.8" hidden="false" customHeight="false" outlineLevel="0" collapsed="false">
      <c r="A5" s="0" t="s">
        <v>50</v>
      </c>
    </row>
    <row r="6" customFormat="false" ht="13.8" hidden="false" customHeight="false" outlineLevel="0" collapsed="false">
      <c r="A6" s="0" t="s">
        <v>51</v>
      </c>
    </row>
    <row r="7" customFormat="false" ht="13.8" hidden="false" customHeight="false" outlineLevel="0" collapsed="false">
      <c r="A7" s="0" t="s">
        <v>52</v>
      </c>
      <c r="B7" s="2" t="s">
        <v>53</v>
      </c>
      <c r="C7" s="2" t="s">
        <v>53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F3" activeCellId="0" sqref="F3"/>
    </sheetView>
  </sheetViews>
  <sheetFormatPr defaultColWidth="8.70703125" defaultRowHeight="15" zeroHeight="false" outlineLevelRow="0" outlineLevelCol="0"/>
  <cols>
    <col collapsed="false" customWidth="true" hidden="false" outlineLevel="0" max="3" min="1" style="0" width="26.42"/>
    <col collapsed="false" customWidth="true" hidden="false" outlineLevel="0" max="4" min="4" style="0" width="21.86"/>
    <col collapsed="false" customWidth="true" hidden="false" outlineLevel="0" max="9" min="5" style="0" width="20.42"/>
  </cols>
  <sheetData>
    <row r="1" customFormat="false" ht="15" hidden="false" customHeight="false" outlineLevel="0" collapsed="false">
      <c r="A1" s="0" t="s">
        <v>39</v>
      </c>
      <c r="B1" s="0" t="s">
        <v>54</v>
      </c>
      <c r="C1" s="0" t="s">
        <v>55</v>
      </c>
      <c r="D1" s="0" t="s">
        <v>58</v>
      </c>
      <c r="E1" s="0" t="s">
        <v>59</v>
      </c>
      <c r="F1" s="0" t="s">
        <v>60</v>
      </c>
      <c r="G1" s="0" t="s">
        <v>61</v>
      </c>
      <c r="H1" s="0" t="s">
        <v>62</v>
      </c>
      <c r="I1" s="3" t="s">
        <v>63</v>
      </c>
    </row>
    <row r="2" customFormat="false" ht="15" hidden="false" customHeight="false" outlineLevel="0" collapsed="false">
      <c r="A2" s="0" t="s">
        <v>44</v>
      </c>
      <c r="B2" s="0" t="s">
        <v>56</v>
      </c>
      <c r="C2" s="0" t="s">
        <v>56</v>
      </c>
      <c r="D2" s="0" t="s">
        <v>64</v>
      </c>
      <c r="E2" s="0" t="s">
        <v>64</v>
      </c>
      <c r="F2" s="0" t="s">
        <v>64</v>
      </c>
      <c r="G2" s="0" t="s">
        <v>64</v>
      </c>
      <c r="H2" s="0" t="s">
        <v>64</v>
      </c>
      <c r="I2" s="0" t="s">
        <v>65</v>
      </c>
    </row>
    <row r="3" customFormat="false" ht="15" hidden="false" customHeight="false" outlineLevel="0" collapsed="false">
      <c r="A3" s="0" t="s">
        <v>48</v>
      </c>
      <c r="D3" s="0" t="s">
        <v>66</v>
      </c>
      <c r="E3" s="0" t="s">
        <v>67</v>
      </c>
      <c r="F3" s="0" t="s">
        <v>66</v>
      </c>
      <c r="G3" s="0" t="s">
        <v>67</v>
      </c>
      <c r="H3" s="0" t="s">
        <v>68</v>
      </c>
    </row>
    <row r="4" customFormat="false" ht="13.8" hidden="false" customHeight="false" outlineLevel="0" collapsed="false">
      <c r="A4" s="0" t="s">
        <v>49</v>
      </c>
      <c r="B4" s="0" t="s">
        <v>69</v>
      </c>
      <c r="C4" s="0" t="s">
        <v>57</v>
      </c>
    </row>
    <row r="5" customFormat="false" ht="15" hidden="false" customHeight="false" outlineLevel="0" collapsed="false">
      <c r="A5" s="0" t="s">
        <v>50</v>
      </c>
      <c r="D5" s="0" t="n">
        <f aca="false">TRUE()</f>
        <v>1</v>
      </c>
      <c r="E5" s="0" t="n">
        <f aca="false">TRUE()</f>
        <v>1</v>
      </c>
      <c r="F5" s="0" t="n">
        <f aca="false">TRUE()</f>
        <v>1</v>
      </c>
      <c r="G5" s="0" t="n">
        <f aca="false">TRUE()</f>
        <v>1</v>
      </c>
    </row>
    <row r="6" customFormat="false" ht="15" hidden="false" customHeight="false" outlineLevel="0" collapsed="false">
      <c r="A6" s="0" t="s">
        <v>51</v>
      </c>
      <c r="I6" s="0" t="s">
        <v>70</v>
      </c>
    </row>
    <row r="7" customFormat="false" ht="15" hidden="false" customHeight="false" outlineLevel="0" collapsed="false">
      <c r="A7" s="0" t="s">
        <v>52</v>
      </c>
      <c r="B7" s="2" t="s">
        <v>53</v>
      </c>
      <c r="C7" s="2" t="s">
        <v>53</v>
      </c>
      <c r="D7" s="0" t="s">
        <v>71</v>
      </c>
      <c r="E7" s="0" t="s">
        <v>71</v>
      </c>
      <c r="F7" s="0" t="s">
        <v>71</v>
      </c>
      <c r="G7" s="0" t="s">
        <v>71</v>
      </c>
      <c r="H7" s="0" t="s">
        <v>72</v>
      </c>
      <c r="I7" s="0" t="s">
        <v>72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F2CC"/>
    <pageSetUpPr fitToPage="false"/>
  </sheetPr>
  <dimension ref="A1:E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E1" activeCellId="0" sqref="E1"/>
    </sheetView>
  </sheetViews>
  <sheetFormatPr defaultColWidth="8.70703125" defaultRowHeight="15" zeroHeight="false" outlineLevelRow="0" outlineLevelCol="0"/>
  <cols>
    <col collapsed="false" customWidth="true" hidden="false" outlineLevel="0" max="1" min="1" style="0" width="25.57"/>
    <col collapsed="false" customWidth="true" hidden="false" outlineLevel="0" max="3" min="2" style="0" width="26.42"/>
    <col collapsed="false" customWidth="true" hidden="false" outlineLevel="0" max="4" min="4" style="0" width="25.57"/>
    <col collapsed="false" customWidth="true" hidden="false" outlineLevel="0" max="5" min="5" style="0" width="39.86"/>
    <col collapsed="false" customWidth="true" hidden="false" outlineLevel="0" max="8" min="6" style="0" width="25.57"/>
  </cols>
  <sheetData>
    <row r="1" customFormat="false" ht="15" hidden="false" customHeight="false" outlineLevel="0" collapsed="false">
      <c r="A1" s="0" t="s">
        <v>39</v>
      </c>
      <c r="B1" s="0" t="s">
        <v>54</v>
      </c>
      <c r="C1" s="0" t="s">
        <v>55</v>
      </c>
      <c r="D1" s="0" t="s">
        <v>73</v>
      </c>
      <c r="E1" s="0" t="s">
        <v>4</v>
      </c>
    </row>
    <row r="2" customFormat="false" ht="15" hidden="false" customHeight="false" outlineLevel="0" collapsed="false">
      <c r="A2" s="0" t="s">
        <v>44</v>
      </c>
      <c r="B2" s="0" t="s">
        <v>56</v>
      </c>
      <c r="C2" s="0" t="s">
        <v>56</v>
      </c>
      <c r="D2" s="0" t="s">
        <v>65</v>
      </c>
      <c r="E2" s="0" t="s">
        <v>64</v>
      </c>
    </row>
    <row r="3" customFormat="false" ht="15" hidden="false" customHeight="false" outlineLevel="0" collapsed="false">
      <c r="A3" s="0" t="s">
        <v>48</v>
      </c>
      <c r="E3" s="0" t="s">
        <v>74</v>
      </c>
    </row>
    <row r="4" customFormat="false" ht="15" hidden="false" customHeight="false" outlineLevel="0" collapsed="false">
      <c r="A4" s="0" t="s">
        <v>49</v>
      </c>
      <c r="B4" s="0" t="s">
        <v>75</v>
      </c>
      <c r="C4" s="0" t="s">
        <v>69</v>
      </c>
    </row>
    <row r="5" customFormat="false" ht="15" hidden="false" customHeight="false" outlineLevel="0" collapsed="false">
      <c r="A5" s="0" t="s">
        <v>50</v>
      </c>
    </row>
    <row r="6" customFormat="false" ht="15" hidden="false" customHeight="false" outlineLevel="0" collapsed="false">
      <c r="A6" s="0" t="s">
        <v>51</v>
      </c>
      <c r="D6" s="0" t="s">
        <v>76</v>
      </c>
    </row>
    <row r="7" customFormat="false" ht="15" hidden="false" customHeight="false" outlineLevel="0" collapsed="false">
      <c r="A7" s="0" t="s">
        <v>52</v>
      </c>
      <c r="B7" s="2" t="s">
        <v>53</v>
      </c>
      <c r="C7" s="2" t="s">
        <v>53</v>
      </c>
      <c r="D7" s="0" t="s">
        <v>77</v>
      </c>
      <c r="E7" s="0" t="s">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108"/>
  <sheetViews>
    <sheetView showFormulas="false" showGridLines="true" showRowColHeaders="true" showZeros="true" rightToLeft="false" tabSelected="true" showOutlineSymbols="true" defaultGridColor="true" view="normal" topLeftCell="D1" colorId="64" zoomScale="95" zoomScaleNormal="95" zoomScalePageLayoutView="100" workbookViewId="0">
      <pane xSplit="0" ySplit="1" topLeftCell="A2" activePane="bottomLeft" state="frozen"/>
      <selection pane="topLeft" activeCell="D1" activeCellId="0" sqref="D1"/>
      <selection pane="bottomLeft" activeCell="F7" activeCellId="0" sqref="F7"/>
    </sheetView>
  </sheetViews>
  <sheetFormatPr defaultColWidth="8.70703125" defaultRowHeight="15" zeroHeight="false" outlineLevelRow="0" outlineLevelCol="0"/>
  <cols>
    <col collapsed="false" customWidth="true" hidden="false" outlineLevel="0" max="1" min="1" style="4" width="44.58"/>
    <col collapsed="false" customWidth="true" hidden="false" outlineLevel="0" max="2" min="2" style="4" width="32.87"/>
    <col collapsed="false" customWidth="true" hidden="false" outlineLevel="0" max="3" min="3" style="5" width="21.14"/>
    <col collapsed="false" customWidth="true" hidden="false" outlineLevel="0" max="4" min="4" style="6" width="46.18"/>
    <col collapsed="false" customWidth="true" hidden="false" outlineLevel="0" max="5" min="5" style="6" width="57.57"/>
    <col collapsed="false" customWidth="true" hidden="false" outlineLevel="0" max="9" min="6" style="6" width="18.29"/>
    <col collapsed="false" customWidth="true" hidden="false" outlineLevel="0" max="10" min="10" style="6" width="13.57"/>
    <col collapsed="false" customWidth="true" hidden="false" outlineLevel="0" max="11" min="11" style="6" width="19.31"/>
    <col collapsed="false" customWidth="true" hidden="false" outlineLevel="0" max="12" min="12" style="6" width="19"/>
    <col collapsed="false" customWidth="true" hidden="false" outlineLevel="0" max="13" min="13" style="6" width="15.42"/>
    <col collapsed="false" customWidth="true" hidden="false" outlineLevel="0" max="14" min="14" style="6" width="13.7"/>
    <col collapsed="false" customWidth="true" hidden="false" outlineLevel="0" max="15" min="15" style="6" width="14.01"/>
    <col collapsed="false" customWidth="true" hidden="false" outlineLevel="0" max="16" min="16" style="0" width="12.42"/>
    <col collapsed="false" customWidth="true" hidden="false" outlineLevel="0" max="17" min="17" style="0" width="13.86"/>
    <col collapsed="false" customWidth="true" hidden="false" outlineLevel="0" max="18" min="18" style="0" width="13.14"/>
    <col collapsed="false" customWidth="true" hidden="false" outlineLevel="0" max="19" min="19" style="0" width="15.57"/>
    <col collapsed="false" customWidth="true" hidden="false" outlineLevel="0" max="20" min="20" style="0" width="14.57"/>
    <col collapsed="false" customWidth="true" hidden="false" outlineLevel="0" max="21" min="21" style="0" width="15.42"/>
    <col collapsed="false" customWidth="true" hidden="false" outlineLevel="0" max="22" min="22" style="0" width="17.29"/>
    <col collapsed="false" customWidth="true" hidden="false" outlineLevel="0" max="23" min="23" style="0" width="14.57"/>
    <col collapsed="false" customWidth="true" hidden="false" outlineLevel="0" max="24" min="24" style="0" width="16.57"/>
    <col collapsed="false" customWidth="true" hidden="false" outlineLevel="0" max="25" min="25" style="0" width="13.7"/>
    <col collapsed="false" customWidth="true" hidden="false" outlineLevel="0" max="26" min="26" style="0" width="15.57"/>
    <col collapsed="false" customWidth="true" hidden="false" outlineLevel="0" max="27" min="27" style="0" width="14.69"/>
    <col collapsed="false" customWidth="true" hidden="false" outlineLevel="0" max="28" min="28" style="0" width="14.57"/>
  </cols>
  <sheetData>
    <row r="1" customFormat="false" ht="25.15" hidden="false" customHeight="true" outlineLevel="0" collapsed="false">
      <c r="A1" s="7" t="s">
        <v>75</v>
      </c>
      <c r="B1" s="0"/>
      <c r="C1" s="0"/>
      <c r="D1" s="0"/>
      <c r="E1" s="0"/>
      <c r="F1" s="0"/>
      <c r="G1" s="0"/>
      <c r="H1" s="0"/>
      <c r="I1" s="0"/>
      <c r="J1" s="0"/>
      <c r="K1" s="0"/>
      <c r="L1" s="0"/>
      <c r="M1" s="0"/>
      <c r="N1" s="0"/>
      <c r="O1" s="0"/>
    </row>
    <row r="2" customFormat="false" ht="29.25" hidden="false" customHeight="true" outlineLevel="0" collapsed="false">
      <c r="A2" s="8" t="str">
        <f aca="false">CONCATENATE('Catalogue properties'!B1," [",'Catalogue properties'!B6,"]")</f>
        <v>Catalogue Item name []</v>
      </c>
      <c r="B2" s="8" t="str">
        <f aca="false">CONCATENATE('Catalogue properties'!C1," [",'Catalogue properties'!C6,"]")</f>
        <v>Catalogue item description []</v>
      </c>
      <c r="C2" s="9" t="str">
        <f aca="false">CONCATENATE('Catalogue properties'!D1," [",'Catalogue properties'!D6,"]")</f>
        <v>Manufacturer []</v>
      </c>
      <c r="D2" s="10" t="str">
        <f aca="false">CONCATENATE('Catalogue properties'!E1," [",'Catalogue properties'!E6,"]")</f>
        <v>Manufacturer part/catalog number []</v>
      </c>
      <c r="E2" s="10" t="str">
        <f aca="false">CONCATENATE('Catalogue properties'!F1," [",'Catalogue properties'!F6,"]")</f>
        <v>ManufacturerURL []</v>
      </c>
      <c r="F2" s="10" t="str">
        <f aca="false">CONCATENATE('Vacuum Pump'!D1," [",'Vacuum Pump'!D6,"]")</f>
        <v>Inlet flange type []</v>
      </c>
      <c r="G2" s="10" t="str">
        <f aca="false">CONCATENATE('Vacuum Pump'!E1," [",'Vacuum Pump'!E6,"]")</f>
        <v>Inlet flange size  []</v>
      </c>
      <c r="H2" s="10" t="str">
        <f aca="false">CONCATENATE('Vacuum Pump'!F1," [",'Vacuum Pump'!F6,"]")</f>
        <v>Outlet flange type []</v>
      </c>
      <c r="I2" s="10" t="str">
        <f aca="false">CONCATENATE('Vacuum Pump'!G1," [",'Vacuum Pump'!G6,"]")</f>
        <v>Outlet flange size []</v>
      </c>
      <c r="J2" s="10" t="str">
        <f aca="false">CONCATENATE('Vacuum Pump'!H1," [",'Vacuum Pump'!H6,"]")</f>
        <v>Coolling []</v>
      </c>
      <c r="K2" s="9" t="str">
        <f aca="false">CONCATENATE('Vacuum Pump'!I1," [",'Vacuum Pump'!I6,"]")</f>
        <v>Power consumption [W]</v>
      </c>
      <c r="L2" s="10" t="str">
        <f aca="false">CONCATENATE('Turbomolecular pumps'!D1," [",'Turbomolecular pumps'!D6,"]")</f>
        <v>Pumping speed for N2 [L/sec]</v>
      </c>
      <c r="M2" s="10" t="str">
        <f aca="false">CONCATENATE('Turbomolecular pumps'!E1," [",'Turbomolecular pumps'!E6,"]")</f>
        <v>Bearing []</v>
      </c>
      <c r="N2" s="10" t="s">
        <v>78</v>
      </c>
    </row>
    <row r="3" customFormat="false" ht="27" hidden="false" customHeight="true" outlineLevel="0" collapsed="false">
      <c r="A3" s="4" t="s">
        <v>79</v>
      </c>
      <c r="B3" s="11" t="s">
        <v>80</v>
      </c>
      <c r="C3" s="12" t="s">
        <v>5</v>
      </c>
      <c r="D3" s="6" t="s">
        <v>81</v>
      </c>
      <c r="E3" s="13" t="s">
        <v>82</v>
      </c>
      <c r="F3" s="14" t="s">
        <v>7</v>
      </c>
      <c r="G3" s="14" t="s">
        <v>27</v>
      </c>
      <c r="H3" s="14" t="s">
        <v>16</v>
      </c>
      <c r="I3" s="14" t="s">
        <v>17</v>
      </c>
      <c r="J3" s="14" t="s">
        <v>6</v>
      </c>
      <c r="K3" s="6" t="n">
        <v>300</v>
      </c>
      <c r="L3" s="6" t="n">
        <v>1400</v>
      </c>
      <c r="M3" s="14" t="s">
        <v>9</v>
      </c>
      <c r="N3" s="6" t="n">
        <v>15020244</v>
      </c>
      <c r="O3" s="6" t="n">
        <v>15020245</v>
      </c>
      <c r="P3" s="6" t="n">
        <v>15020246</v>
      </c>
      <c r="Q3" s="6" t="n">
        <v>15020247</v>
      </c>
      <c r="R3" s="6" t="n">
        <v>15020248</v>
      </c>
      <c r="S3" s="6" t="n">
        <v>15020249</v>
      </c>
      <c r="T3" s="6" t="n">
        <v>15020250</v>
      </c>
      <c r="U3" s="6" t="n">
        <v>15020251</v>
      </c>
      <c r="V3" s="6" t="n">
        <v>15020252</v>
      </c>
    </row>
    <row r="4" customFormat="false" ht="30" hidden="false" customHeight="true" outlineLevel="0" collapsed="false">
      <c r="A4" s="4" t="s">
        <v>83</v>
      </c>
      <c r="B4" s="11" t="s">
        <v>84</v>
      </c>
      <c r="C4" s="12" t="s">
        <v>5</v>
      </c>
      <c r="D4" s="6" t="s">
        <v>85</v>
      </c>
      <c r="E4" s="13" t="s">
        <v>86</v>
      </c>
      <c r="F4" s="14" t="s">
        <v>20</v>
      </c>
      <c r="G4" s="14" t="s">
        <v>34</v>
      </c>
      <c r="H4" s="14" t="s">
        <v>16</v>
      </c>
      <c r="I4" s="14" t="s">
        <v>17</v>
      </c>
      <c r="J4" s="14" t="s">
        <v>6</v>
      </c>
      <c r="K4" s="6" t="n">
        <v>300</v>
      </c>
      <c r="L4" s="6" t="n">
        <v>1360</v>
      </c>
      <c r="M4" s="14" t="s">
        <v>9</v>
      </c>
      <c r="N4" s="6" t="n">
        <v>18080658</v>
      </c>
      <c r="P4" s="6"/>
      <c r="Q4" s="6"/>
      <c r="R4" s="6"/>
      <c r="S4" s="6"/>
      <c r="T4" s="6"/>
      <c r="U4" s="6"/>
      <c r="V4" s="6"/>
    </row>
    <row r="5" customFormat="false" ht="35.25" hidden="false" customHeight="true" outlineLevel="0" collapsed="false">
      <c r="A5" s="4" t="s">
        <v>87</v>
      </c>
      <c r="B5" s="11" t="s">
        <v>88</v>
      </c>
      <c r="C5" s="12" t="s">
        <v>5</v>
      </c>
      <c r="D5" s="6" t="s">
        <v>89</v>
      </c>
      <c r="E5" s="13" t="s">
        <v>90</v>
      </c>
      <c r="F5" s="14" t="s">
        <v>7</v>
      </c>
      <c r="G5" s="14" t="s">
        <v>27</v>
      </c>
      <c r="H5" s="14" t="s">
        <v>16</v>
      </c>
      <c r="I5" s="14" t="s">
        <v>17</v>
      </c>
      <c r="J5" s="14" t="s">
        <v>6</v>
      </c>
      <c r="K5" s="6" t="n">
        <v>350</v>
      </c>
      <c r="L5" s="6" t="n">
        <v>2150</v>
      </c>
      <c r="M5" s="14" t="s">
        <v>9</v>
      </c>
      <c r="N5" s="6" t="n">
        <v>15020238</v>
      </c>
      <c r="O5" s="6" t="n">
        <v>15020239</v>
      </c>
      <c r="P5" s="6" t="n">
        <v>15020240</v>
      </c>
      <c r="Q5" s="6" t="n">
        <v>15020241</v>
      </c>
      <c r="R5" s="6" t="n">
        <v>18080659</v>
      </c>
      <c r="S5" s="6" t="n">
        <v>18080660</v>
      </c>
      <c r="T5" s="6" t="n">
        <v>18080661</v>
      </c>
    </row>
    <row r="6" customFormat="false" ht="30" hidden="false" customHeight="true" outlineLevel="0" collapsed="false">
      <c r="A6" s="4" t="s">
        <v>91</v>
      </c>
      <c r="B6" s="11" t="s">
        <v>92</v>
      </c>
      <c r="C6" s="12" t="s">
        <v>5</v>
      </c>
      <c r="D6" s="6" t="s">
        <v>93</v>
      </c>
      <c r="E6" s="13" t="s">
        <v>94</v>
      </c>
      <c r="F6" s="14" t="s">
        <v>20</v>
      </c>
      <c r="G6" s="14" t="s">
        <v>21</v>
      </c>
      <c r="H6" s="14" t="s">
        <v>16</v>
      </c>
      <c r="I6" s="14" t="s">
        <v>8</v>
      </c>
      <c r="J6" s="14" t="s">
        <v>6</v>
      </c>
      <c r="K6" s="6" t="n">
        <v>300</v>
      </c>
      <c r="L6" s="6" t="n">
        <v>255</v>
      </c>
      <c r="M6" s="14" t="s">
        <v>9</v>
      </c>
      <c r="N6" s="6" t="n">
        <v>15020225</v>
      </c>
      <c r="O6" s="6" t="n">
        <v>15020226</v>
      </c>
      <c r="P6" s="6" t="n">
        <v>17060072</v>
      </c>
    </row>
    <row r="7" customFormat="false" ht="30" hidden="false" customHeight="true" outlineLevel="0" collapsed="false">
      <c r="A7" s="4" t="s">
        <v>95</v>
      </c>
      <c r="B7" s="11" t="s">
        <v>96</v>
      </c>
      <c r="C7" s="12" t="s">
        <v>5</v>
      </c>
      <c r="D7" s="6" t="s">
        <v>97</v>
      </c>
      <c r="E7" s="13" t="s">
        <v>98</v>
      </c>
      <c r="F7" s="14" t="s">
        <v>12</v>
      </c>
      <c r="G7" s="14" t="s">
        <v>21</v>
      </c>
      <c r="H7" s="14" t="s">
        <v>23</v>
      </c>
      <c r="I7" s="14" t="s">
        <v>8</v>
      </c>
      <c r="J7" s="14" t="s">
        <v>11</v>
      </c>
      <c r="K7" s="6" t="n">
        <v>180</v>
      </c>
      <c r="L7" s="6" t="n">
        <v>260</v>
      </c>
      <c r="M7" s="14" t="s">
        <v>18</v>
      </c>
      <c r="N7" s="6" t="n">
        <v>22040021</v>
      </c>
      <c r="O7" s="6" t="n">
        <v>22040022</v>
      </c>
      <c r="P7" s="6" t="n">
        <v>22040023</v>
      </c>
    </row>
    <row r="8" customFormat="false" ht="30" hidden="false" customHeight="true" outlineLevel="0" collapsed="false">
      <c r="A8" s="4" t="s">
        <v>99</v>
      </c>
      <c r="B8" s="11" t="s">
        <v>100</v>
      </c>
      <c r="C8" s="12" t="s">
        <v>5</v>
      </c>
      <c r="D8" s="6" t="s">
        <v>101</v>
      </c>
      <c r="E8" s="13" t="s">
        <v>102</v>
      </c>
      <c r="F8" s="14" t="s">
        <v>20</v>
      </c>
      <c r="G8" s="14" t="s">
        <v>21</v>
      </c>
      <c r="H8" s="14" t="s">
        <v>23</v>
      </c>
      <c r="I8" s="14" t="s">
        <v>8</v>
      </c>
      <c r="J8" s="14" t="s">
        <v>6</v>
      </c>
      <c r="K8" s="6" t="n">
        <v>300</v>
      </c>
      <c r="L8" s="6" t="n">
        <v>260</v>
      </c>
      <c r="M8" s="14" t="s">
        <v>18</v>
      </c>
      <c r="N8" s="6" t="n">
        <v>18100088</v>
      </c>
    </row>
    <row r="9" customFormat="false" ht="27.75" hidden="false" customHeight="true" outlineLevel="0" collapsed="false">
      <c r="A9" s="4" t="s">
        <v>103</v>
      </c>
      <c r="B9" s="11" t="s">
        <v>100</v>
      </c>
      <c r="C9" s="12" t="s">
        <v>5</v>
      </c>
      <c r="D9" s="6" t="s">
        <v>104</v>
      </c>
      <c r="E9" s="13" t="s">
        <v>105</v>
      </c>
      <c r="F9" s="14" t="s">
        <v>7</v>
      </c>
      <c r="G9" s="14" t="s">
        <v>21</v>
      </c>
      <c r="H9" s="14" t="s">
        <v>23</v>
      </c>
      <c r="I9" s="14" t="s">
        <v>8</v>
      </c>
      <c r="J9" s="14" t="s">
        <v>6</v>
      </c>
      <c r="K9" s="6" t="n">
        <v>300</v>
      </c>
      <c r="L9" s="6" t="n">
        <v>260</v>
      </c>
      <c r="M9" s="14" t="s">
        <v>18</v>
      </c>
      <c r="N9" s="6" t="n">
        <v>18101023</v>
      </c>
    </row>
    <row r="10" customFormat="false" ht="27.75" hidden="false" customHeight="true" outlineLevel="0" collapsed="false">
      <c r="A10" s="4" t="s">
        <v>106</v>
      </c>
      <c r="B10" s="11" t="s">
        <v>107</v>
      </c>
      <c r="C10" s="12" t="s">
        <v>5</v>
      </c>
      <c r="D10" s="6" t="s">
        <v>108</v>
      </c>
      <c r="E10" s="13" t="s">
        <v>109</v>
      </c>
      <c r="F10" s="14" t="s">
        <v>20</v>
      </c>
      <c r="G10" s="14" t="s">
        <v>32</v>
      </c>
      <c r="H10" s="14" t="s">
        <v>23</v>
      </c>
      <c r="I10" s="14" t="s">
        <v>8</v>
      </c>
      <c r="J10" s="14" t="s">
        <v>6</v>
      </c>
      <c r="K10" s="6" t="n">
        <v>110</v>
      </c>
      <c r="L10" s="6" t="n">
        <v>67</v>
      </c>
      <c r="M10" s="14" t="s">
        <v>18</v>
      </c>
      <c r="N10" s="6" t="n">
        <v>18100090</v>
      </c>
    </row>
    <row r="11" customFormat="false" ht="27.75" hidden="false" customHeight="true" outlineLevel="0" collapsed="false">
      <c r="A11" s="4" t="s">
        <v>110</v>
      </c>
      <c r="B11" s="11" t="s">
        <v>111</v>
      </c>
      <c r="C11" s="12" t="s">
        <v>5</v>
      </c>
      <c r="D11" s="6" t="s">
        <v>112</v>
      </c>
      <c r="E11" s="13" t="s">
        <v>113</v>
      </c>
      <c r="F11" s="14" t="s">
        <v>12</v>
      </c>
      <c r="G11" s="14" t="s">
        <v>32</v>
      </c>
      <c r="H11" s="14" t="s">
        <v>26</v>
      </c>
      <c r="I11" s="14" t="s">
        <v>33</v>
      </c>
      <c r="J11" s="14" t="s">
        <v>11</v>
      </c>
      <c r="K11" s="6" t="n">
        <v>270</v>
      </c>
      <c r="L11" s="6" t="n">
        <v>67</v>
      </c>
      <c r="M11" s="14" t="s">
        <v>18</v>
      </c>
      <c r="N11" s="6" t="n">
        <v>18050002</v>
      </c>
      <c r="O11" s="6" t="n">
        <v>18050003</v>
      </c>
      <c r="P11" s="6" t="n">
        <v>18050172</v>
      </c>
      <c r="Q11" s="6" t="n">
        <v>22030133</v>
      </c>
    </row>
    <row r="12" customFormat="false" ht="30" hidden="false" customHeight="true" outlineLevel="0" collapsed="false">
      <c r="A12" s="4" t="s">
        <v>114</v>
      </c>
      <c r="B12" s="11" t="s">
        <v>111</v>
      </c>
      <c r="C12" s="12" t="s">
        <v>5</v>
      </c>
      <c r="D12" s="6" t="s">
        <v>115</v>
      </c>
      <c r="E12" s="13" t="s">
        <v>116</v>
      </c>
      <c r="F12" s="14" t="s">
        <v>20</v>
      </c>
      <c r="G12" s="14" t="s">
        <v>32</v>
      </c>
      <c r="H12" s="14" t="s">
        <v>26</v>
      </c>
      <c r="I12" s="14" t="s">
        <v>33</v>
      </c>
      <c r="J12" s="14" t="s">
        <v>11</v>
      </c>
      <c r="K12" s="6" t="n">
        <v>270</v>
      </c>
      <c r="L12" s="6" t="n">
        <v>67</v>
      </c>
      <c r="M12" s="14" t="s">
        <v>18</v>
      </c>
      <c r="N12" s="6" t="n">
        <v>19020335</v>
      </c>
      <c r="P12" s="6"/>
      <c r="Q12" s="6"/>
    </row>
    <row r="13" customFormat="false" ht="28.5" hidden="false" customHeight="true" outlineLevel="0" collapsed="false">
      <c r="A13" s="4" t="s">
        <v>117</v>
      </c>
      <c r="B13" s="11" t="s">
        <v>118</v>
      </c>
      <c r="C13" s="12" t="s">
        <v>5</v>
      </c>
      <c r="D13" s="6" t="s">
        <v>119</v>
      </c>
      <c r="E13" s="13" t="s">
        <v>120</v>
      </c>
      <c r="F13" s="14" t="s">
        <v>12</v>
      </c>
      <c r="G13" s="14" t="s">
        <v>21</v>
      </c>
      <c r="H13" s="14" t="s">
        <v>26</v>
      </c>
      <c r="I13" s="14" t="s">
        <v>33</v>
      </c>
      <c r="J13" s="14" t="s">
        <v>11</v>
      </c>
      <c r="K13" s="6" t="n">
        <v>270</v>
      </c>
      <c r="L13" s="6" t="n">
        <v>260</v>
      </c>
      <c r="M13" s="14" t="s">
        <v>18</v>
      </c>
      <c r="N13" s="6" t="n">
        <v>19110557</v>
      </c>
    </row>
    <row r="14" customFormat="false" ht="26.25" hidden="false" customHeight="true" outlineLevel="0" collapsed="false">
      <c r="A14" s="4" t="s">
        <v>121</v>
      </c>
      <c r="B14" s="11" t="s">
        <v>122</v>
      </c>
      <c r="C14" s="12" t="s">
        <v>5</v>
      </c>
      <c r="D14" s="6" t="s">
        <v>123</v>
      </c>
      <c r="E14" s="13" t="s">
        <v>124</v>
      </c>
      <c r="F14" s="14" t="s">
        <v>20</v>
      </c>
      <c r="G14" s="14" t="s">
        <v>24</v>
      </c>
      <c r="H14" s="14" t="s">
        <v>23</v>
      </c>
      <c r="I14" s="14" t="s">
        <v>13</v>
      </c>
      <c r="J14" s="14" t="s">
        <v>6</v>
      </c>
      <c r="K14" s="6" t="n">
        <v>420</v>
      </c>
      <c r="L14" s="6" t="n">
        <v>685</v>
      </c>
      <c r="M14" s="14" t="s">
        <v>18</v>
      </c>
      <c r="N14" s="6" t="n">
        <v>18100089</v>
      </c>
      <c r="O14" s="6" t="n">
        <v>22050123</v>
      </c>
    </row>
    <row r="15" customFormat="false" ht="26.25" hidden="false" customHeight="true" outlineLevel="0" collapsed="false">
      <c r="A15" s="4" t="s">
        <v>125</v>
      </c>
      <c r="B15" s="11" t="s">
        <v>126</v>
      </c>
      <c r="C15" s="12" t="s">
        <v>10</v>
      </c>
      <c r="D15" s="6" t="s">
        <v>127</v>
      </c>
      <c r="E15" s="13" t="s">
        <v>128</v>
      </c>
      <c r="F15" s="14" t="s">
        <v>7</v>
      </c>
      <c r="G15" s="14" t="s">
        <v>36</v>
      </c>
      <c r="H15" s="14" t="s">
        <v>16</v>
      </c>
      <c r="I15" s="14" t="s">
        <v>17</v>
      </c>
      <c r="J15" s="14" t="s">
        <v>6</v>
      </c>
      <c r="K15" s="6" t="n">
        <v>1800</v>
      </c>
      <c r="L15" s="6" t="n">
        <v>3200</v>
      </c>
      <c r="M15" s="14" t="s">
        <v>9</v>
      </c>
      <c r="N15" s="6" t="n">
        <v>17121273</v>
      </c>
      <c r="O15" s="6" t="n">
        <v>19030116</v>
      </c>
      <c r="P15" s="6" t="n">
        <v>19030117</v>
      </c>
      <c r="Q15" s="6" t="n">
        <v>19030118</v>
      </c>
    </row>
    <row r="16" customFormat="false" ht="21" hidden="false" customHeight="true" outlineLevel="0" collapsed="false">
      <c r="A16" s="4" t="s">
        <v>129</v>
      </c>
      <c r="B16" s="11" t="s">
        <v>130</v>
      </c>
      <c r="C16" s="12" t="s">
        <v>10</v>
      </c>
      <c r="D16" s="6" t="s">
        <v>131</v>
      </c>
      <c r="E16" s="13" t="s">
        <v>132</v>
      </c>
      <c r="F16" s="14" t="s">
        <v>7</v>
      </c>
      <c r="G16" s="14" t="s">
        <v>36</v>
      </c>
      <c r="H16" s="14" t="s">
        <v>16</v>
      </c>
      <c r="I16" s="14" t="s">
        <v>17</v>
      </c>
      <c r="J16" s="14" t="s">
        <v>6</v>
      </c>
      <c r="K16" s="6" t="n">
        <v>1500</v>
      </c>
      <c r="L16" s="6" t="n">
        <v>3200</v>
      </c>
      <c r="M16" s="14" t="s">
        <v>9</v>
      </c>
      <c r="N16" s="6" t="n">
        <v>16010130</v>
      </c>
      <c r="P16" s="6"/>
      <c r="Q16" s="6"/>
    </row>
    <row r="17" customFormat="false" ht="27" hidden="false" customHeight="true" outlineLevel="0" collapsed="false">
      <c r="A17" s="4" t="s">
        <v>133</v>
      </c>
      <c r="B17" s="11" t="s">
        <v>134</v>
      </c>
      <c r="C17" s="12" t="s">
        <v>10</v>
      </c>
      <c r="D17" s="6" t="s">
        <v>135</v>
      </c>
      <c r="E17" s="13" t="s">
        <v>136</v>
      </c>
      <c r="F17" s="14" t="s">
        <v>7</v>
      </c>
      <c r="G17" s="14" t="s">
        <v>36</v>
      </c>
      <c r="H17" s="14" t="s">
        <v>16</v>
      </c>
      <c r="I17" s="14" t="s">
        <v>17</v>
      </c>
      <c r="J17" s="14" t="s">
        <v>6</v>
      </c>
      <c r="K17" s="6" t="n">
        <v>2200</v>
      </c>
      <c r="L17" s="6" t="n">
        <v>4000</v>
      </c>
      <c r="M17" s="14" t="s">
        <v>9</v>
      </c>
      <c r="N17" s="6" t="n">
        <v>19050003</v>
      </c>
      <c r="O17" s="6" t="n">
        <v>18110825</v>
      </c>
    </row>
    <row r="18" customFormat="false" ht="27" hidden="false" customHeight="true" outlineLevel="0" collapsed="false">
      <c r="A18" s="4" t="s">
        <v>137</v>
      </c>
      <c r="B18" s="11" t="s">
        <v>138</v>
      </c>
      <c r="C18" s="12" t="s">
        <v>10</v>
      </c>
      <c r="D18" s="6" t="s">
        <v>139</v>
      </c>
      <c r="E18" s="13" t="s">
        <v>140</v>
      </c>
      <c r="F18" s="14" t="s">
        <v>7</v>
      </c>
      <c r="G18" s="14" t="s">
        <v>27</v>
      </c>
      <c r="H18" s="14" t="s">
        <v>16</v>
      </c>
      <c r="I18" s="14" t="s">
        <v>17</v>
      </c>
      <c r="J18" s="14" t="s">
        <v>6</v>
      </c>
      <c r="K18" s="6" t="n">
        <v>1800</v>
      </c>
      <c r="L18" s="6" t="n">
        <v>2650</v>
      </c>
      <c r="M18" s="14" t="s">
        <v>9</v>
      </c>
      <c r="N18" s="6" t="n">
        <v>18120023</v>
      </c>
    </row>
    <row r="19" customFormat="false" ht="19.5" hidden="false" customHeight="true" outlineLevel="0" collapsed="false">
      <c r="A19" s="4" t="s">
        <v>141</v>
      </c>
      <c r="B19" s="11" t="s">
        <v>142</v>
      </c>
      <c r="C19" s="12" t="s">
        <v>25</v>
      </c>
      <c r="D19" s="6" t="s">
        <v>143</v>
      </c>
      <c r="E19" s="13" t="s">
        <v>144</v>
      </c>
      <c r="F19" s="14" t="s">
        <v>12</v>
      </c>
      <c r="G19" s="14" t="s">
        <v>21</v>
      </c>
      <c r="H19" s="14" t="s">
        <v>16</v>
      </c>
      <c r="I19" s="14" t="s">
        <v>13</v>
      </c>
      <c r="J19" s="14" t="s">
        <v>6</v>
      </c>
      <c r="K19" s="6" t="n">
        <v>160</v>
      </c>
      <c r="L19" s="6" t="n">
        <v>300</v>
      </c>
      <c r="M19" s="14" t="s">
        <v>18</v>
      </c>
      <c r="N19" s="6" t="n">
        <v>18010002</v>
      </c>
    </row>
    <row r="20" customFormat="false" ht="23.25" hidden="false" customHeight="true" outlineLevel="0" collapsed="false">
      <c r="A20" s="4" t="s">
        <v>145</v>
      </c>
      <c r="B20" s="4" t="s">
        <v>142</v>
      </c>
      <c r="C20" s="12" t="s">
        <v>25</v>
      </c>
      <c r="D20" s="6" t="s">
        <v>146</v>
      </c>
      <c r="E20" s="13" t="s">
        <v>147</v>
      </c>
      <c r="F20" s="14" t="s">
        <v>12</v>
      </c>
      <c r="G20" s="14" t="s">
        <v>24</v>
      </c>
      <c r="H20" s="14" t="s">
        <v>16</v>
      </c>
      <c r="I20" s="14" t="s">
        <v>13</v>
      </c>
      <c r="J20" s="14" t="s">
        <v>6</v>
      </c>
      <c r="K20" s="6" t="n">
        <v>160</v>
      </c>
      <c r="L20" s="6" t="n">
        <v>400</v>
      </c>
      <c r="M20" s="14" t="s">
        <v>18</v>
      </c>
      <c r="N20" s="6" t="n">
        <v>18010001</v>
      </c>
    </row>
    <row r="21" customFormat="false" ht="102.2" hidden="false" customHeight="false" outlineLevel="0" collapsed="false">
      <c r="A21" s="4" t="s">
        <v>148</v>
      </c>
      <c r="B21" s="11" t="s">
        <v>149</v>
      </c>
      <c r="C21" s="12" t="s">
        <v>19</v>
      </c>
      <c r="D21" s="6" t="s">
        <v>150</v>
      </c>
      <c r="E21" s="13" t="s">
        <v>151</v>
      </c>
      <c r="F21" s="14" t="s">
        <v>7</v>
      </c>
      <c r="G21" s="14" t="s">
        <v>27</v>
      </c>
      <c r="H21" s="14" t="s">
        <v>16</v>
      </c>
      <c r="I21" s="14" t="s">
        <v>17</v>
      </c>
      <c r="J21" s="14" t="s">
        <v>6</v>
      </c>
      <c r="K21" s="6" t="n">
        <v>150</v>
      </c>
      <c r="L21" s="6" t="n">
        <v>2100</v>
      </c>
      <c r="M21" s="14" t="s">
        <v>9</v>
      </c>
      <c r="N21" s="6" t="n">
        <v>17120452</v>
      </c>
      <c r="O21" s="6" t="n">
        <v>17120459</v>
      </c>
      <c r="P21" s="6" t="n">
        <v>17120463</v>
      </c>
      <c r="Q21" s="6" t="n">
        <v>17120144</v>
      </c>
      <c r="R21" s="6" t="n">
        <v>17120479</v>
      </c>
      <c r="S21" s="6" t="n">
        <v>17120485</v>
      </c>
      <c r="T21" s="6" t="n">
        <v>17120488</v>
      </c>
      <c r="U21" s="6" t="n">
        <v>17120489</v>
      </c>
      <c r="V21" s="6" t="n">
        <v>17120498</v>
      </c>
      <c r="W21" s="6" t="n">
        <v>17120510</v>
      </c>
      <c r="X21" s="6" t="n">
        <v>17120519</v>
      </c>
      <c r="Y21" s="6" t="n">
        <v>17120520</v>
      </c>
      <c r="Z21" s="6" t="n">
        <v>17120522</v>
      </c>
      <c r="AA21" s="6" t="n">
        <v>17120531</v>
      </c>
      <c r="AB21" s="6" t="n">
        <v>17120532</v>
      </c>
    </row>
    <row r="22" customFormat="false" ht="24.75" hidden="false" customHeight="true" outlineLevel="0" collapsed="false">
      <c r="A22" s="4" t="s">
        <v>152</v>
      </c>
      <c r="B22" s="4" t="s">
        <v>153</v>
      </c>
      <c r="C22" s="12" t="s">
        <v>28</v>
      </c>
      <c r="D22" s="6" t="s">
        <v>154</v>
      </c>
      <c r="E22" s="15" t="s">
        <v>155</v>
      </c>
      <c r="F22" s="14" t="s">
        <v>7</v>
      </c>
      <c r="G22" s="14" t="s">
        <v>36</v>
      </c>
      <c r="H22" s="14" t="s">
        <v>16</v>
      </c>
      <c r="I22" s="14" t="s">
        <v>17</v>
      </c>
      <c r="J22" s="14" t="s">
        <v>6</v>
      </c>
      <c r="K22" s="6" t="n">
        <v>100</v>
      </c>
      <c r="L22" s="6" t="n">
        <v>3200</v>
      </c>
      <c r="M22" s="14" t="s">
        <v>9</v>
      </c>
      <c r="N22" s="6" t="n">
        <v>16010128</v>
      </c>
      <c r="O22" s="6" t="n">
        <v>16010131</v>
      </c>
    </row>
    <row r="23" customFormat="false" ht="158.2" hidden="false" customHeight="false" outlineLevel="0" collapsed="false">
      <c r="A23" s="4" t="s">
        <v>156</v>
      </c>
      <c r="B23" s="11" t="s">
        <v>157</v>
      </c>
      <c r="C23" s="12" t="s">
        <v>31</v>
      </c>
      <c r="D23" s="6" t="s">
        <v>158</v>
      </c>
      <c r="E23" s="13" t="s">
        <v>159</v>
      </c>
      <c r="F23" s="14" t="s">
        <v>12</v>
      </c>
      <c r="G23" s="14" t="s">
        <v>32</v>
      </c>
      <c r="H23" s="14" t="s">
        <v>16</v>
      </c>
      <c r="I23" s="14" t="s">
        <v>8</v>
      </c>
      <c r="J23" s="14" t="s">
        <v>6</v>
      </c>
      <c r="K23" s="6" t="n">
        <v>20</v>
      </c>
      <c r="L23" s="6" t="n">
        <v>90</v>
      </c>
      <c r="M23" s="14" t="s">
        <v>18</v>
      </c>
      <c r="N23" s="6" t="n">
        <v>18050086</v>
      </c>
    </row>
    <row r="24" customFormat="false" ht="15" hidden="false" customHeight="false" outlineLevel="0" collapsed="false">
      <c r="C24" s="12"/>
      <c r="F24" s="14"/>
      <c r="G24" s="14"/>
      <c r="H24" s="14"/>
      <c r="I24" s="14"/>
      <c r="J24" s="14"/>
      <c r="M24" s="14"/>
    </row>
    <row r="25" customFormat="false" ht="15" hidden="false" customHeight="false" outlineLevel="0" collapsed="false">
      <c r="C25" s="12"/>
      <c r="F25" s="14"/>
      <c r="G25" s="14"/>
      <c r="H25" s="14"/>
      <c r="I25" s="14"/>
      <c r="J25" s="14"/>
      <c r="M25" s="14"/>
    </row>
    <row r="26" customFormat="false" ht="15" hidden="false" customHeight="false" outlineLevel="0" collapsed="false">
      <c r="C26" s="12"/>
      <c r="F26" s="14"/>
      <c r="G26" s="14"/>
      <c r="H26" s="14"/>
      <c r="I26" s="14"/>
      <c r="J26" s="14"/>
      <c r="M26" s="14"/>
    </row>
    <row r="27" customFormat="false" ht="15" hidden="false" customHeight="false" outlineLevel="0" collapsed="false">
      <c r="C27" s="12"/>
      <c r="F27" s="14"/>
      <c r="G27" s="14"/>
      <c r="H27" s="14"/>
      <c r="I27" s="14"/>
      <c r="J27" s="14"/>
      <c r="M27" s="14"/>
    </row>
    <row r="28" customFormat="false" ht="15" hidden="false" customHeight="false" outlineLevel="0" collapsed="false">
      <c r="C28" s="12"/>
      <c r="F28" s="14"/>
      <c r="G28" s="14"/>
      <c r="H28" s="14"/>
      <c r="I28" s="14"/>
      <c r="J28" s="14"/>
      <c r="M28" s="14"/>
    </row>
    <row r="29" customFormat="false" ht="15" hidden="false" customHeight="false" outlineLevel="0" collapsed="false">
      <c r="C29" s="12"/>
      <c r="F29" s="14"/>
      <c r="G29" s="14"/>
      <c r="H29" s="14"/>
      <c r="I29" s="14"/>
      <c r="J29" s="14"/>
      <c r="M29" s="14"/>
    </row>
    <row r="30" customFormat="false" ht="15" hidden="false" customHeight="false" outlineLevel="0" collapsed="false">
      <c r="C30" s="12"/>
      <c r="F30" s="14"/>
      <c r="G30" s="14"/>
      <c r="H30" s="14"/>
      <c r="I30" s="14"/>
      <c r="J30" s="14"/>
      <c r="M30" s="14"/>
    </row>
    <row r="31" customFormat="false" ht="15" hidden="false" customHeight="false" outlineLevel="0" collapsed="false">
      <c r="C31" s="12"/>
      <c r="F31" s="14"/>
      <c r="G31" s="14"/>
      <c r="H31" s="14"/>
      <c r="I31" s="14"/>
      <c r="J31" s="14"/>
      <c r="M31" s="14"/>
    </row>
    <row r="32" customFormat="false" ht="15" hidden="false" customHeight="false" outlineLevel="0" collapsed="false">
      <c r="C32" s="12"/>
      <c r="F32" s="14"/>
      <c r="G32" s="14"/>
      <c r="H32" s="14"/>
      <c r="I32" s="14"/>
      <c r="J32" s="14"/>
      <c r="M32" s="14"/>
    </row>
    <row r="33" customFormat="false" ht="15" hidden="false" customHeight="false" outlineLevel="0" collapsed="false">
      <c r="C33" s="12"/>
      <c r="F33" s="14"/>
      <c r="G33" s="14"/>
      <c r="H33" s="14"/>
      <c r="I33" s="14"/>
      <c r="J33" s="14"/>
      <c r="M33" s="14"/>
    </row>
    <row r="34" customFormat="false" ht="15" hidden="false" customHeight="false" outlineLevel="0" collapsed="false">
      <c r="C34" s="12"/>
      <c r="F34" s="14"/>
      <c r="G34" s="14"/>
      <c r="H34" s="14"/>
      <c r="I34" s="14"/>
      <c r="J34" s="14"/>
      <c r="M34" s="14"/>
    </row>
    <row r="35" customFormat="false" ht="15" hidden="false" customHeight="false" outlineLevel="0" collapsed="false">
      <c r="C35" s="12"/>
      <c r="F35" s="14"/>
      <c r="G35" s="14"/>
      <c r="H35" s="14"/>
      <c r="I35" s="14"/>
      <c r="J35" s="14"/>
      <c r="M35" s="14"/>
    </row>
    <row r="36" customFormat="false" ht="15" hidden="false" customHeight="false" outlineLevel="0" collapsed="false">
      <c r="C36" s="12"/>
      <c r="F36" s="14"/>
      <c r="G36" s="14"/>
      <c r="H36" s="14"/>
      <c r="I36" s="14"/>
      <c r="J36" s="14"/>
      <c r="M36" s="14"/>
    </row>
    <row r="37" customFormat="false" ht="15" hidden="false" customHeight="false" outlineLevel="0" collapsed="false">
      <c r="C37" s="12"/>
      <c r="F37" s="14"/>
      <c r="G37" s="14"/>
      <c r="H37" s="14"/>
      <c r="I37" s="14"/>
      <c r="J37" s="14"/>
      <c r="M37" s="14"/>
    </row>
    <row r="38" customFormat="false" ht="15" hidden="false" customHeight="false" outlineLevel="0" collapsed="false">
      <c r="C38" s="12"/>
      <c r="F38" s="14"/>
      <c r="G38" s="14"/>
      <c r="H38" s="14"/>
      <c r="I38" s="14"/>
      <c r="J38" s="14"/>
      <c r="M38" s="14"/>
    </row>
    <row r="39" customFormat="false" ht="15" hidden="false" customHeight="false" outlineLevel="0" collapsed="false">
      <c r="C39" s="12"/>
      <c r="F39" s="14"/>
      <c r="G39" s="14"/>
      <c r="H39" s="14"/>
      <c r="I39" s="14"/>
      <c r="J39" s="14"/>
      <c r="M39" s="14"/>
    </row>
    <row r="40" customFormat="false" ht="15" hidden="false" customHeight="false" outlineLevel="0" collapsed="false">
      <c r="C40" s="12"/>
      <c r="F40" s="14"/>
      <c r="G40" s="14"/>
      <c r="H40" s="14"/>
      <c r="I40" s="14"/>
      <c r="J40" s="14"/>
      <c r="M40" s="14"/>
    </row>
    <row r="41" customFormat="false" ht="15" hidden="false" customHeight="false" outlineLevel="0" collapsed="false">
      <c r="C41" s="12"/>
      <c r="F41" s="14"/>
      <c r="G41" s="14"/>
      <c r="H41" s="14"/>
      <c r="I41" s="14"/>
      <c r="J41" s="14"/>
      <c r="M41" s="14"/>
    </row>
    <row r="42" customFormat="false" ht="15" hidden="false" customHeight="false" outlineLevel="0" collapsed="false">
      <c r="C42" s="12"/>
      <c r="F42" s="14"/>
      <c r="G42" s="14"/>
      <c r="H42" s="14"/>
      <c r="I42" s="14"/>
      <c r="J42" s="14"/>
      <c r="M42" s="14"/>
    </row>
    <row r="43" customFormat="false" ht="15" hidden="false" customHeight="false" outlineLevel="0" collapsed="false">
      <c r="C43" s="12"/>
      <c r="F43" s="14"/>
      <c r="G43" s="14"/>
      <c r="H43" s="14"/>
      <c r="I43" s="14"/>
      <c r="J43" s="14"/>
      <c r="M43" s="14"/>
    </row>
    <row r="44" customFormat="false" ht="15" hidden="false" customHeight="false" outlineLevel="0" collapsed="false">
      <c r="C44" s="12"/>
      <c r="F44" s="14"/>
      <c r="G44" s="14"/>
      <c r="H44" s="14"/>
      <c r="I44" s="14"/>
      <c r="J44" s="14"/>
      <c r="M44" s="14"/>
    </row>
    <row r="45" customFormat="false" ht="15" hidden="false" customHeight="false" outlineLevel="0" collapsed="false">
      <c r="C45" s="12"/>
      <c r="F45" s="14"/>
      <c r="G45" s="14"/>
      <c r="H45" s="14"/>
      <c r="I45" s="14"/>
      <c r="J45" s="14"/>
      <c r="M45" s="14"/>
    </row>
    <row r="46" customFormat="false" ht="15" hidden="false" customHeight="false" outlineLevel="0" collapsed="false">
      <c r="C46" s="12"/>
      <c r="F46" s="14"/>
      <c r="G46" s="14"/>
      <c r="H46" s="14"/>
      <c r="I46" s="14"/>
      <c r="J46" s="14"/>
      <c r="M46" s="14"/>
    </row>
    <row r="47" customFormat="false" ht="15" hidden="false" customHeight="false" outlineLevel="0" collapsed="false">
      <c r="C47" s="12"/>
      <c r="F47" s="14"/>
      <c r="G47" s="14"/>
      <c r="H47" s="14"/>
      <c r="I47" s="14"/>
      <c r="J47" s="14"/>
      <c r="M47" s="14"/>
    </row>
    <row r="48" customFormat="false" ht="15" hidden="false" customHeight="false" outlineLevel="0" collapsed="false">
      <c r="C48" s="12"/>
      <c r="F48" s="14"/>
      <c r="G48" s="14"/>
      <c r="H48" s="14"/>
      <c r="I48" s="14"/>
      <c r="J48" s="14"/>
      <c r="M48" s="14"/>
    </row>
    <row r="49" customFormat="false" ht="15" hidden="false" customHeight="false" outlineLevel="0" collapsed="false">
      <c r="C49" s="12"/>
      <c r="F49" s="14"/>
      <c r="G49" s="14"/>
      <c r="H49" s="14"/>
      <c r="I49" s="14"/>
      <c r="J49" s="14"/>
      <c r="M49" s="14"/>
    </row>
    <row r="50" customFormat="false" ht="15" hidden="false" customHeight="false" outlineLevel="0" collapsed="false">
      <c r="C50" s="12"/>
      <c r="F50" s="14"/>
      <c r="G50" s="14"/>
      <c r="H50" s="14"/>
      <c r="I50" s="14"/>
      <c r="J50" s="14"/>
      <c r="M50" s="14"/>
    </row>
    <row r="51" customFormat="false" ht="15" hidden="false" customHeight="false" outlineLevel="0" collapsed="false">
      <c r="C51" s="12"/>
      <c r="F51" s="14"/>
      <c r="G51" s="14"/>
      <c r="H51" s="14"/>
      <c r="I51" s="14"/>
      <c r="J51" s="14"/>
      <c r="M51" s="14"/>
    </row>
    <row r="52" customFormat="false" ht="15" hidden="false" customHeight="false" outlineLevel="0" collapsed="false">
      <c r="C52" s="12"/>
      <c r="F52" s="14"/>
      <c r="G52" s="14"/>
      <c r="H52" s="14"/>
      <c r="I52" s="14"/>
      <c r="J52" s="14"/>
      <c r="M52" s="14"/>
    </row>
    <row r="53" customFormat="false" ht="15" hidden="false" customHeight="false" outlineLevel="0" collapsed="false">
      <c r="C53" s="12"/>
      <c r="F53" s="14"/>
      <c r="G53" s="14"/>
      <c r="H53" s="14"/>
      <c r="I53" s="14"/>
      <c r="J53" s="14"/>
      <c r="M53" s="14"/>
    </row>
    <row r="54" customFormat="false" ht="15" hidden="false" customHeight="false" outlineLevel="0" collapsed="false">
      <c r="C54" s="12"/>
      <c r="F54" s="14"/>
      <c r="G54" s="14"/>
      <c r="H54" s="14"/>
      <c r="I54" s="14"/>
      <c r="J54" s="14"/>
      <c r="M54" s="14"/>
    </row>
    <row r="55" customFormat="false" ht="15" hidden="false" customHeight="false" outlineLevel="0" collapsed="false">
      <c r="C55" s="12"/>
      <c r="F55" s="14"/>
      <c r="G55" s="14"/>
      <c r="H55" s="14"/>
      <c r="I55" s="14"/>
      <c r="J55" s="14"/>
      <c r="M55" s="14"/>
    </row>
    <row r="56" customFormat="false" ht="15" hidden="false" customHeight="false" outlineLevel="0" collapsed="false">
      <c r="C56" s="12"/>
      <c r="F56" s="14"/>
      <c r="G56" s="14"/>
      <c r="H56" s="14"/>
      <c r="I56" s="14"/>
      <c r="J56" s="14"/>
      <c r="M56" s="14"/>
    </row>
    <row r="57" customFormat="false" ht="15" hidden="false" customHeight="false" outlineLevel="0" collapsed="false">
      <c r="C57" s="12"/>
      <c r="F57" s="14"/>
      <c r="G57" s="14"/>
      <c r="H57" s="14"/>
      <c r="I57" s="14"/>
      <c r="J57" s="14"/>
      <c r="M57" s="14"/>
    </row>
    <row r="58" customFormat="false" ht="15" hidden="false" customHeight="false" outlineLevel="0" collapsed="false">
      <c r="C58" s="12"/>
      <c r="F58" s="14"/>
      <c r="G58" s="14"/>
      <c r="H58" s="14"/>
      <c r="I58" s="14"/>
      <c r="J58" s="14"/>
      <c r="M58" s="14"/>
    </row>
    <row r="59" customFormat="false" ht="15" hidden="false" customHeight="false" outlineLevel="0" collapsed="false">
      <c r="C59" s="12"/>
      <c r="F59" s="14"/>
      <c r="G59" s="14"/>
      <c r="H59" s="14"/>
      <c r="I59" s="14"/>
      <c r="J59" s="14"/>
      <c r="M59" s="14"/>
    </row>
    <row r="60" customFormat="false" ht="15" hidden="false" customHeight="false" outlineLevel="0" collapsed="false">
      <c r="C60" s="12"/>
      <c r="F60" s="14"/>
      <c r="G60" s="14"/>
      <c r="H60" s="14"/>
      <c r="I60" s="14"/>
      <c r="J60" s="14"/>
      <c r="M60" s="14"/>
    </row>
    <row r="61" customFormat="false" ht="15" hidden="false" customHeight="false" outlineLevel="0" collapsed="false">
      <c r="C61" s="12"/>
      <c r="F61" s="14"/>
      <c r="G61" s="14"/>
      <c r="H61" s="14"/>
      <c r="I61" s="14"/>
      <c r="J61" s="14"/>
      <c r="M61" s="14"/>
    </row>
    <row r="62" customFormat="false" ht="15" hidden="false" customHeight="false" outlineLevel="0" collapsed="false">
      <c r="C62" s="12"/>
      <c r="F62" s="14"/>
      <c r="G62" s="14"/>
      <c r="H62" s="14"/>
      <c r="I62" s="14"/>
      <c r="J62" s="14"/>
      <c r="M62" s="14"/>
    </row>
    <row r="63" customFormat="false" ht="15" hidden="false" customHeight="false" outlineLevel="0" collapsed="false">
      <c r="C63" s="12"/>
      <c r="F63" s="14"/>
      <c r="G63" s="14"/>
      <c r="H63" s="14"/>
      <c r="I63" s="14"/>
      <c r="J63" s="14"/>
      <c r="M63" s="14"/>
    </row>
    <row r="64" customFormat="false" ht="15" hidden="false" customHeight="false" outlineLevel="0" collapsed="false">
      <c r="C64" s="12"/>
      <c r="F64" s="14"/>
      <c r="G64" s="14"/>
      <c r="H64" s="14"/>
      <c r="I64" s="14"/>
      <c r="J64" s="14"/>
      <c r="M64" s="14"/>
    </row>
    <row r="65" customFormat="false" ht="15" hidden="false" customHeight="false" outlineLevel="0" collapsed="false">
      <c r="C65" s="12"/>
      <c r="F65" s="14"/>
      <c r="G65" s="14"/>
      <c r="H65" s="14"/>
      <c r="I65" s="14"/>
      <c r="J65" s="14"/>
      <c r="M65" s="14"/>
    </row>
    <row r="66" customFormat="false" ht="15" hidden="false" customHeight="false" outlineLevel="0" collapsed="false">
      <c r="C66" s="12"/>
      <c r="F66" s="14"/>
      <c r="G66" s="14"/>
      <c r="H66" s="14"/>
      <c r="I66" s="14"/>
      <c r="J66" s="14"/>
      <c r="M66" s="14"/>
    </row>
    <row r="67" customFormat="false" ht="15" hidden="false" customHeight="false" outlineLevel="0" collapsed="false">
      <c r="C67" s="12"/>
      <c r="F67" s="14"/>
      <c r="G67" s="14"/>
      <c r="H67" s="14"/>
      <c r="I67" s="14"/>
      <c r="J67" s="14"/>
      <c r="M67" s="14"/>
    </row>
    <row r="68" customFormat="false" ht="15" hidden="false" customHeight="false" outlineLevel="0" collapsed="false">
      <c r="C68" s="12"/>
      <c r="F68" s="14"/>
      <c r="G68" s="14"/>
      <c r="H68" s="14"/>
      <c r="I68" s="14"/>
      <c r="J68" s="14"/>
      <c r="M68" s="14"/>
    </row>
    <row r="69" customFormat="false" ht="15" hidden="false" customHeight="false" outlineLevel="0" collapsed="false">
      <c r="C69" s="12"/>
      <c r="F69" s="14"/>
      <c r="G69" s="14"/>
      <c r="H69" s="14"/>
      <c r="I69" s="14"/>
      <c r="J69" s="14"/>
      <c r="M69" s="14"/>
    </row>
    <row r="70" customFormat="false" ht="15" hidden="false" customHeight="false" outlineLevel="0" collapsed="false">
      <c r="C70" s="12"/>
      <c r="F70" s="14"/>
      <c r="G70" s="14"/>
      <c r="H70" s="14"/>
      <c r="I70" s="14"/>
      <c r="J70" s="14"/>
      <c r="M70" s="14"/>
    </row>
    <row r="71" customFormat="false" ht="15" hidden="false" customHeight="false" outlineLevel="0" collapsed="false">
      <c r="C71" s="12"/>
      <c r="F71" s="14"/>
      <c r="G71" s="14"/>
      <c r="H71" s="14"/>
      <c r="I71" s="14"/>
      <c r="J71" s="14"/>
      <c r="M71" s="14"/>
    </row>
    <row r="72" customFormat="false" ht="15" hidden="false" customHeight="false" outlineLevel="0" collapsed="false">
      <c r="C72" s="12"/>
      <c r="F72" s="14"/>
      <c r="G72" s="14"/>
      <c r="H72" s="14"/>
      <c r="I72" s="14"/>
      <c r="J72" s="14"/>
      <c r="M72" s="14"/>
    </row>
    <row r="73" customFormat="false" ht="15" hidden="false" customHeight="false" outlineLevel="0" collapsed="false">
      <c r="C73" s="12"/>
      <c r="F73" s="14"/>
      <c r="G73" s="14"/>
      <c r="H73" s="14"/>
      <c r="I73" s="14"/>
      <c r="J73" s="14"/>
      <c r="M73" s="14"/>
    </row>
    <row r="74" customFormat="false" ht="15" hidden="false" customHeight="false" outlineLevel="0" collapsed="false">
      <c r="C74" s="12"/>
      <c r="F74" s="14"/>
      <c r="G74" s="14"/>
      <c r="H74" s="14"/>
      <c r="I74" s="14"/>
      <c r="J74" s="14"/>
      <c r="M74" s="14"/>
    </row>
    <row r="75" customFormat="false" ht="15" hidden="false" customHeight="false" outlineLevel="0" collapsed="false">
      <c r="C75" s="12"/>
      <c r="F75" s="14"/>
      <c r="G75" s="14"/>
      <c r="H75" s="14"/>
      <c r="I75" s="14"/>
      <c r="J75" s="14"/>
      <c r="M75" s="14"/>
    </row>
    <row r="76" customFormat="false" ht="15" hidden="false" customHeight="false" outlineLevel="0" collapsed="false">
      <c r="C76" s="12"/>
      <c r="F76" s="14"/>
      <c r="G76" s="14"/>
      <c r="H76" s="14"/>
      <c r="I76" s="14"/>
      <c r="J76" s="14"/>
      <c r="M76" s="14"/>
    </row>
    <row r="77" customFormat="false" ht="15" hidden="false" customHeight="false" outlineLevel="0" collapsed="false">
      <c r="C77" s="12"/>
      <c r="F77" s="14"/>
      <c r="G77" s="14"/>
      <c r="H77" s="14"/>
      <c r="I77" s="14"/>
      <c r="J77" s="14"/>
      <c r="M77" s="14"/>
    </row>
    <row r="78" customFormat="false" ht="15" hidden="false" customHeight="false" outlineLevel="0" collapsed="false">
      <c r="C78" s="12"/>
      <c r="F78" s="14"/>
      <c r="G78" s="14"/>
      <c r="H78" s="14"/>
      <c r="I78" s="14"/>
      <c r="J78" s="14"/>
      <c r="M78" s="14"/>
    </row>
    <row r="79" customFormat="false" ht="15" hidden="false" customHeight="false" outlineLevel="0" collapsed="false">
      <c r="C79" s="12"/>
      <c r="F79" s="14"/>
      <c r="G79" s="14"/>
      <c r="H79" s="14"/>
      <c r="I79" s="14"/>
      <c r="J79" s="14"/>
      <c r="M79" s="14"/>
    </row>
    <row r="80" customFormat="false" ht="15" hidden="false" customHeight="false" outlineLevel="0" collapsed="false">
      <c r="C80" s="12"/>
      <c r="F80" s="14"/>
      <c r="G80" s="14"/>
      <c r="H80" s="14"/>
      <c r="I80" s="14"/>
      <c r="J80" s="14"/>
      <c r="M80" s="14"/>
    </row>
    <row r="81" customFormat="false" ht="15" hidden="false" customHeight="false" outlineLevel="0" collapsed="false">
      <c r="C81" s="12"/>
      <c r="F81" s="14"/>
      <c r="G81" s="14"/>
      <c r="H81" s="14"/>
      <c r="I81" s="14"/>
      <c r="J81" s="14"/>
      <c r="M81" s="14"/>
    </row>
    <row r="82" customFormat="false" ht="15" hidden="false" customHeight="false" outlineLevel="0" collapsed="false">
      <c r="C82" s="12"/>
      <c r="F82" s="14"/>
      <c r="G82" s="14"/>
      <c r="H82" s="14"/>
      <c r="I82" s="14"/>
      <c r="J82" s="14"/>
      <c r="M82" s="14"/>
    </row>
    <row r="83" customFormat="false" ht="15" hidden="false" customHeight="false" outlineLevel="0" collapsed="false">
      <c r="C83" s="12"/>
      <c r="F83" s="14"/>
      <c r="G83" s="14"/>
      <c r="H83" s="14"/>
      <c r="I83" s="14"/>
      <c r="J83" s="14"/>
      <c r="M83" s="14"/>
    </row>
    <row r="84" customFormat="false" ht="15" hidden="false" customHeight="false" outlineLevel="0" collapsed="false">
      <c r="C84" s="12"/>
      <c r="F84" s="14"/>
      <c r="G84" s="14"/>
      <c r="H84" s="14"/>
      <c r="I84" s="14"/>
      <c r="J84" s="14"/>
      <c r="M84" s="14"/>
    </row>
    <row r="85" customFormat="false" ht="15" hidden="false" customHeight="false" outlineLevel="0" collapsed="false">
      <c r="C85" s="12"/>
      <c r="F85" s="14"/>
      <c r="G85" s="14"/>
      <c r="H85" s="14"/>
      <c r="I85" s="14"/>
      <c r="J85" s="14"/>
      <c r="M85" s="14"/>
    </row>
    <row r="86" customFormat="false" ht="15" hidden="false" customHeight="false" outlineLevel="0" collapsed="false">
      <c r="C86" s="12"/>
      <c r="F86" s="14"/>
      <c r="G86" s="14"/>
      <c r="H86" s="14"/>
      <c r="I86" s="14"/>
      <c r="J86" s="14"/>
      <c r="M86" s="14"/>
    </row>
    <row r="87" customFormat="false" ht="15" hidden="false" customHeight="false" outlineLevel="0" collapsed="false">
      <c r="C87" s="12"/>
      <c r="F87" s="14"/>
      <c r="G87" s="14"/>
      <c r="H87" s="14"/>
      <c r="I87" s="14"/>
      <c r="J87" s="14"/>
      <c r="M87" s="14"/>
    </row>
    <row r="88" customFormat="false" ht="15" hidden="false" customHeight="false" outlineLevel="0" collapsed="false">
      <c r="C88" s="12"/>
      <c r="F88" s="14"/>
      <c r="G88" s="14"/>
      <c r="H88" s="14"/>
      <c r="I88" s="14"/>
      <c r="J88" s="14"/>
      <c r="M88" s="14"/>
    </row>
    <row r="89" customFormat="false" ht="15" hidden="false" customHeight="false" outlineLevel="0" collapsed="false">
      <c r="C89" s="12"/>
      <c r="F89" s="14"/>
      <c r="G89" s="14"/>
      <c r="H89" s="14"/>
      <c r="I89" s="14"/>
      <c r="J89" s="14"/>
      <c r="M89" s="14"/>
    </row>
    <row r="90" customFormat="false" ht="15" hidden="false" customHeight="false" outlineLevel="0" collapsed="false">
      <c r="C90" s="12"/>
      <c r="F90" s="14"/>
      <c r="G90" s="14"/>
      <c r="H90" s="14"/>
      <c r="I90" s="14"/>
      <c r="J90" s="14"/>
      <c r="M90" s="14"/>
    </row>
    <row r="91" customFormat="false" ht="15" hidden="false" customHeight="false" outlineLevel="0" collapsed="false">
      <c r="C91" s="12"/>
      <c r="F91" s="14"/>
      <c r="G91" s="14"/>
      <c r="H91" s="14"/>
      <c r="I91" s="14"/>
      <c r="J91" s="14"/>
      <c r="M91" s="14"/>
    </row>
    <row r="92" customFormat="false" ht="15" hidden="false" customHeight="false" outlineLevel="0" collapsed="false">
      <c r="C92" s="12"/>
      <c r="F92" s="14"/>
      <c r="G92" s="14"/>
      <c r="H92" s="14"/>
      <c r="I92" s="14"/>
      <c r="J92" s="14"/>
      <c r="M92" s="14"/>
    </row>
    <row r="93" customFormat="false" ht="15" hidden="false" customHeight="false" outlineLevel="0" collapsed="false">
      <c r="C93" s="12"/>
      <c r="F93" s="14"/>
      <c r="G93" s="14"/>
      <c r="H93" s="14"/>
      <c r="I93" s="14"/>
      <c r="J93" s="14"/>
      <c r="M93" s="14"/>
    </row>
    <row r="94" customFormat="false" ht="15" hidden="false" customHeight="false" outlineLevel="0" collapsed="false">
      <c r="C94" s="12"/>
      <c r="F94" s="14"/>
      <c r="G94" s="14"/>
      <c r="H94" s="14"/>
      <c r="I94" s="14"/>
      <c r="J94" s="14"/>
      <c r="M94" s="14"/>
    </row>
    <row r="95" customFormat="false" ht="15" hidden="false" customHeight="false" outlineLevel="0" collapsed="false">
      <c r="C95" s="12"/>
      <c r="F95" s="14"/>
      <c r="G95" s="14"/>
      <c r="H95" s="14"/>
      <c r="I95" s="14"/>
      <c r="J95" s="14"/>
      <c r="M95" s="14"/>
    </row>
    <row r="96" customFormat="false" ht="15" hidden="false" customHeight="false" outlineLevel="0" collapsed="false">
      <c r="C96" s="12"/>
      <c r="F96" s="14"/>
      <c r="G96" s="14"/>
      <c r="H96" s="14"/>
      <c r="I96" s="14"/>
      <c r="J96" s="14"/>
      <c r="M96" s="14"/>
    </row>
    <row r="97" customFormat="false" ht="15" hidden="false" customHeight="false" outlineLevel="0" collapsed="false">
      <c r="C97" s="12"/>
      <c r="F97" s="14"/>
      <c r="G97" s="14"/>
      <c r="H97" s="14"/>
      <c r="I97" s="14"/>
      <c r="J97" s="14"/>
      <c r="M97" s="14"/>
    </row>
    <row r="98" customFormat="false" ht="15" hidden="false" customHeight="false" outlineLevel="0" collapsed="false">
      <c r="C98" s="12"/>
      <c r="F98" s="14"/>
      <c r="G98" s="14"/>
      <c r="H98" s="14"/>
      <c r="I98" s="14"/>
      <c r="J98" s="14"/>
      <c r="M98" s="14"/>
    </row>
    <row r="99" customFormat="false" ht="15" hidden="false" customHeight="false" outlineLevel="0" collapsed="false">
      <c r="C99" s="12"/>
      <c r="F99" s="14"/>
      <c r="G99" s="14"/>
      <c r="H99" s="14"/>
      <c r="I99" s="14"/>
      <c r="J99" s="14"/>
      <c r="M99" s="14"/>
    </row>
    <row r="100" customFormat="false" ht="15" hidden="false" customHeight="false" outlineLevel="0" collapsed="false">
      <c r="C100" s="12"/>
      <c r="F100" s="14"/>
      <c r="G100" s="14"/>
      <c r="H100" s="14"/>
      <c r="I100" s="14"/>
      <c r="J100" s="14"/>
      <c r="M100" s="14"/>
    </row>
    <row r="101" customFormat="false" ht="15" hidden="false" customHeight="false" outlineLevel="0" collapsed="false">
      <c r="C101" s="12"/>
      <c r="F101" s="14"/>
      <c r="G101" s="14"/>
      <c r="H101" s="14"/>
      <c r="I101" s="14"/>
      <c r="J101" s="14"/>
      <c r="M101" s="14"/>
    </row>
    <row r="102" customFormat="false" ht="15" hidden="false" customHeight="false" outlineLevel="0" collapsed="false">
      <c r="C102" s="12"/>
      <c r="F102" s="14"/>
      <c r="G102" s="14"/>
      <c r="H102" s="14"/>
      <c r="I102" s="14"/>
      <c r="J102" s="14"/>
      <c r="M102" s="14"/>
    </row>
    <row r="103" customFormat="false" ht="15" hidden="false" customHeight="false" outlineLevel="0" collapsed="false">
      <c r="C103" s="12"/>
      <c r="F103" s="14"/>
      <c r="G103" s="14"/>
      <c r="H103" s="14"/>
      <c r="I103" s="14"/>
      <c r="J103" s="14"/>
      <c r="M103" s="14"/>
    </row>
    <row r="104" customFormat="false" ht="15" hidden="false" customHeight="false" outlineLevel="0" collapsed="false">
      <c r="C104" s="12"/>
      <c r="F104" s="14"/>
      <c r="G104" s="14"/>
      <c r="H104" s="14"/>
      <c r="I104" s="14"/>
      <c r="J104" s="14"/>
      <c r="M104" s="14"/>
    </row>
    <row r="105" customFormat="false" ht="15" hidden="false" customHeight="false" outlineLevel="0" collapsed="false">
      <c r="C105" s="12"/>
      <c r="F105" s="14"/>
      <c r="G105" s="14"/>
      <c r="H105" s="14"/>
      <c r="I105" s="14"/>
      <c r="J105" s="14"/>
      <c r="M105" s="14"/>
    </row>
    <row r="106" customFormat="false" ht="15" hidden="false" customHeight="false" outlineLevel="0" collapsed="false">
      <c r="C106" s="12"/>
      <c r="F106" s="14"/>
      <c r="G106" s="14"/>
      <c r="H106" s="14"/>
      <c r="I106" s="14"/>
      <c r="J106" s="14"/>
      <c r="M106" s="14"/>
    </row>
    <row r="107" customFormat="false" ht="15" hidden="false" customHeight="false" outlineLevel="0" collapsed="false">
      <c r="C107" s="12"/>
      <c r="F107" s="14"/>
      <c r="G107" s="14"/>
      <c r="H107" s="14"/>
      <c r="I107" s="14"/>
      <c r="J107" s="14"/>
      <c r="M107" s="14"/>
    </row>
    <row r="108" customFormat="false" ht="15" hidden="false" customHeight="false" outlineLevel="0" collapsed="false">
      <c r="C108" s="12"/>
      <c r="F108" s="14"/>
      <c r="G108" s="14"/>
      <c r="H108" s="14"/>
      <c r="I108" s="14"/>
      <c r="J108" s="14"/>
      <c r="M108" s="14"/>
    </row>
  </sheetData>
  <dataValidations count="5">
    <dataValidation allowBlank="true" errorStyle="stop" operator="between" showDropDown="false" showErrorMessage="true" showInputMessage="true" sqref="C3:C108" type="list">
      <formula1>'Lists of values'!$A$2:$A$1000</formula1>
      <formula2>0</formula2>
    </dataValidation>
    <dataValidation allowBlank="true" errorStyle="stop" operator="between" showDropDown="false" showErrorMessage="true" showInputMessage="true" sqref="G3:G108 I3:I108" type="list">
      <formula1>'Lists of values'!$F$2:$F$20</formula1>
      <formula2>0</formula2>
    </dataValidation>
    <dataValidation allowBlank="true" errorStyle="stop" operator="between" showDropDown="false" showErrorMessage="true" showInputMessage="true" sqref="F3:F108 H3:H108" type="list">
      <formula1>'Lists of values'!$E$2:$E$20</formula1>
      <formula2>0</formula2>
    </dataValidation>
    <dataValidation allowBlank="true" errorStyle="stop" operator="between" showDropDown="false" showErrorMessage="true" showInputMessage="true" sqref="J3:J108" type="list">
      <formula1>'Lists of values'!$C$2:$C$20</formula1>
      <formula2>0</formula2>
    </dataValidation>
    <dataValidation allowBlank="true" errorStyle="stop" operator="between" showDropDown="false" showErrorMessage="true" showInputMessage="true" sqref="M3:M108" type="list">
      <formula1>'Lists of values'!$H$2:$H$20</formula1>
      <formula2>0</formula2>
    </dataValidation>
  </dataValidations>
  <hyperlinks>
    <hyperlink ref="E3" r:id="rId1" display="https://webportal.pfeiffer-vacuum.com/en/shop/product/YE66215A"/>
    <hyperlink ref="E4" r:id="rId2" display="https://webportal.pfeiffer-vacuum.com/en/shop/search?text=YC52215A"/>
    <hyperlink ref="E5" r:id="rId3" display="http://www.pfeiffer-vacuum.com/products/turbopumps/magnetically-levitated/ath-2300-m/onlinecatalog.action?detailPdoId=12686"/>
    <hyperlink ref="E6" r:id="rId4" location="product-downloads" display="http://www.pfeiffer-vacuum.com/products/turbopumps/magnetically-levitated/hipace-300-m/onlinecatalog.action?detailPdoId=12158#product-downloads"/>
    <hyperlink ref="E7" r:id="rId5" display="https://www.pfeiffer-vacuum.com/en/products/vacuum-generation/turbopumps/hybrid-bearing/hipace-300/15900/hipace-300-h-with-tc-110-dn-100-iso-k"/>
    <hyperlink ref="E8" r:id="rId6" display="https://www.pfeiffer-vacuum.com/en/products/vacuum-generation/turbopumps/hybrid-bearing/hipace-300/4501/hipace-300-with-tc-400-dn-100-cf-f"/>
    <hyperlink ref="E9" r:id="rId7" display="https://www.pfeiffer-vacuum.com/en/products/vacuum-generation/turbopumps/hybrid-bearing/hipace-300/4502/hipace-300-with-tc-400-dn-100-iso-f"/>
    <hyperlink ref="E10" r:id="rId8" display="https://webportal.pfeiffer-vacuum.com/en/shop/product/PM_P03_941_A"/>
    <hyperlink ref="E11" r:id="rId9" display="https://www.pfeiffer-vacuum.com/en/products/vacuum-generation/pumping-stations/turbo-pumping-stations/hicube-eco/20020/hicube-80-eco-dn-63-iso-k-mvp-015-4"/>
    <hyperlink ref="E12" r:id="rId10" display="https://www.pfeiffer-vacuum.com/en/products/vacuum-generation/pumping-stations/turbo-pumping-stations/hicube-eco/20023/hicube-80-eco-dn-63-cf-f-mvp-015-4"/>
    <hyperlink ref="E13" r:id="rId11" display="https://webportal.pfeiffer-vacuum.com/en/shop/product/PM_S76_200_00"/>
    <hyperlink ref="E14" r:id="rId12" display="https://webportal.pfeiffer-vacuum.com/en/shop/product/PM_P03_934"/>
    <hyperlink ref="E15" r:id="rId13" display="https://shop.edwardsvacuum.com/products/yt820z040/view.aspx"/>
    <hyperlink ref="E16" r:id="rId14" display="https://shop.edwardsvacuum.com/products/yt660z050/view.aspx"/>
    <hyperlink ref="E17" r:id="rId15" display="https://shop.edwardsvacuum.com/products/YT780Z000/view.aspx"/>
    <hyperlink ref="E18" r:id="rId16" display="https://shop.edwardsvacuum.com/products/YT820Z020/view.aspx"/>
    <hyperlink ref="E19" r:id="rId17" display="https://shop.edwardsvacuum.com/products/b82200100/view.aspx"/>
    <hyperlink ref="E20" r:id="rId18" display="https://shop.edwardsvacuum.com/products/b83200300/view.aspx"/>
    <hyperlink ref="E21" r:id="rId19" display="https://www.leyboldproducts.com/products/high-vacuum-pumpscryo-technology/turbovac-turbovac-mag/turbovac-magintegra/pumps/675/turbovac-mag-w-2200-ip"/>
    <hyperlink ref="E22" r:id="rId20" display="https://www.provac.ie/product/turbovac-mag-w-3200-ct/&#10;https://www.ptbsales.com/leybold-turbovac-mag-w-3200-ct-rebuilt.html"/>
    <hyperlink ref="E23" r:id="rId21" display="https://www.leyboldproducts.com/products/high-vacuum-pumpscryo-technology/turbovac-turbovac-mag/turbovac-i-ix-hybrid-bearings/pumps/734/turbovac-90-i/ix"/>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F2CC"/>
    <pageSetUpPr fitToPage="false"/>
  </sheetPr>
  <dimension ref="A1:E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2" activeCellId="0" sqref="D2"/>
    </sheetView>
  </sheetViews>
  <sheetFormatPr defaultColWidth="8.70703125" defaultRowHeight="15" zeroHeight="false" outlineLevelRow="0" outlineLevelCol="0"/>
  <cols>
    <col collapsed="false" customWidth="true" hidden="false" outlineLevel="0" max="6" min="1" style="0" width="24.71"/>
  </cols>
  <sheetData>
    <row r="1" customFormat="false" ht="15" hidden="false" customHeight="false" outlineLevel="0" collapsed="false">
      <c r="A1" s="0" t="s">
        <v>39</v>
      </c>
      <c r="B1" s="0" t="s">
        <v>54</v>
      </c>
      <c r="C1" s="0" t="s">
        <v>55</v>
      </c>
      <c r="D1" s="0" t="s">
        <v>160</v>
      </c>
      <c r="E1" s="0" t="s">
        <v>161</v>
      </c>
    </row>
    <row r="2" customFormat="false" ht="15" hidden="false" customHeight="false" outlineLevel="0" collapsed="false">
      <c r="A2" s="0" t="s">
        <v>44</v>
      </c>
      <c r="B2" s="0" t="s">
        <v>56</v>
      </c>
      <c r="C2" s="0" t="s">
        <v>56</v>
      </c>
      <c r="D2" s="0" t="s">
        <v>65</v>
      </c>
      <c r="E2" s="0" t="s">
        <v>65</v>
      </c>
    </row>
    <row r="3" customFormat="false" ht="15" hidden="false" customHeight="false" outlineLevel="0" collapsed="false">
      <c r="A3" s="0" t="s">
        <v>48</v>
      </c>
    </row>
    <row r="4" customFormat="false" ht="15" hidden="false" customHeight="false" outlineLevel="0" collapsed="false">
      <c r="A4" s="0" t="s">
        <v>49</v>
      </c>
      <c r="B4" s="0" t="s">
        <v>162</v>
      </c>
      <c r="C4" s="0" t="s">
        <v>69</v>
      </c>
    </row>
    <row r="5" customFormat="false" ht="15" hidden="false" customHeight="false" outlineLevel="0" collapsed="false">
      <c r="A5" s="0" t="s">
        <v>50</v>
      </c>
    </row>
    <row r="6" customFormat="false" ht="15" hidden="false" customHeight="false" outlineLevel="0" collapsed="false">
      <c r="A6" s="0" t="s">
        <v>51</v>
      </c>
      <c r="D6" s="0" t="s">
        <v>163</v>
      </c>
      <c r="E6" s="0" t="s">
        <v>164</v>
      </c>
    </row>
    <row r="7" customFormat="false" ht="15" hidden="false" customHeight="false" outlineLevel="0" collapsed="false">
      <c r="A7" s="0" t="s">
        <v>52</v>
      </c>
      <c r="B7" s="2" t="s">
        <v>53</v>
      </c>
      <c r="C7" s="2" t="s">
        <v>53</v>
      </c>
      <c r="D7" s="0" t="s">
        <v>165</v>
      </c>
      <c r="E7" s="0" t="s">
        <v>165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102"/>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0703125" defaultRowHeight="15" zeroHeight="false" outlineLevelRow="0" outlineLevelCol="0"/>
  <cols>
    <col collapsed="false" customWidth="true" hidden="false" outlineLevel="0" max="1" min="1" style="6" width="44.42"/>
    <col collapsed="false" customWidth="true" hidden="false" outlineLevel="0" max="2" min="2" style="4" width="37.3"/>
    <col collapsed="false" customWidth="true" hidden="false" outlineLevel="0" max="3" min="3" style="5" width="23.88"/>
    <col collapsed="false" customWidth="true" hidden="false" outlineLevel="0" max="4" min="4" style="6" width="21.71"/>
    <col collapsed="false" customWidth="true" hidden="false" outlineLevel="0" max="5" min="5" style="6" width="52.85"/>
    <col collapsed="false" customWidth="true" hidden="false" outlineLevel="0" max="10" min="6" style="6" width="18.29"/>
    <col collapsed="false" customWidth="true" hidden="false" outlineLevel="0" max="11" min="11" style="6" width="20.42"/>
    <col collapsed="false" customWidth="true" hidden="false" outlineLevel="0" max="12" min="12" style="6" width="26"/>
    <col collapsed="false" customWidth="true" hidden="false" outlineLevel="0" max="13" min="13" style="6" width="24.57"/>
    <col collapsed="false" customWidth="true" hidden="false" outlineLevel="0" max="14" min="14" style="6" width="17.13"/>
    <col collapsed="false" customWidth="true" hidden="false" outlineLevel="0" max="15" min="15" style="0" width="11.71"/>
    <col collapsed="false" customWidth="true" hidden="false" outlineLevel="0" max="16" min="16" style="0" width="13.02"/>
    <col collapsed="false" customWidth="true" hidden="false" outlineLevel="0" max="17" min="17" style="0" width="12.42"/>
    <col collapsed="false" customWidth="true" hidden="false" outlineLevel="0" max="18" min="18" style="0" width="11.71"/>
    <col collapsed="false" customWidth="true" hidden="false" outlineLevel="0" max="19" min="19" style="0" width="10.29"/>
    <col collapsed="false" customWidth="true" hidden="false" outlineLevel="0" max="20" min="20" style="0" width="12.14"/>
    <col collapsed="false" customWidth="true" hidden="false" outlineLevel="0" max="21" min="21" style="0" width="11.14"/>
    <col collapsed="false" customWidth="true" hidden="false" outlineLevel="0" max="22" min="22" style="0" width="12.14"/>
    <col collapsed="false" customWidth="true" hidden="false" outlineLevel="0" max="23" min="23" style="0" width="11.86"/>
  </cols>
  <sheetData>
    <row r="1" customFormat="false" ht="18.55" hidden="false" customHeight="false" outlineLevel="0" collapsed="false">
      <c r="A1" s="16" t="s">
        <v>162</v>
      </c>
      <c r="B1" s="8"/>
      <c r="C1" s="9"/>
      <c r="D1" s="10"/>
      <c r="E1" s="10"/>
      <c r="F1" s="10"/>
      <c r="G1" s="10"/>
      <c r="H1" s="10"/>
      <c r="I1" s="10"/>
      <c r="J1" s="10"/>
      <c r="K1" s="10"/>
      <c r="L1" s="10"/>
      <c r="M1" s="10"/>
      <c r="N1" s="10"/>
    </row>
    <row r="2" customFormat="false" ht="15" hidden="false" customHeight="false" outlineLevel="0" collapsed="false">
      <c r="A2" s="10" t="str">
        <f aca="false">CONCATENATE('Catalogue properties'!B1," [",'Catalogue properties'!B6,"]")</f>
        <v>Catalogue Item name []</v>
      </c>
      <c r="B2" s="8" t="str">
        <f aca="false">CONCATENATE('Catalogue properties'!C1," [",'Catalogue properties'!C6,"]")</f>
        <v>Catalogue item description []</v>
      </c>
      <c r="C2" s="9" t="str">
        <f aca="false">CONCATENATE('Catalogue properties'!D1," [",'Catalogue properties'!D6,"]")</f>
        <v>Manufacturer []</v>
      </c>
      <c r="D2" s="10" t="str">
        <f aca="false">CONCATENATE('Catalogue properties'!E1," [",'Catalogue properties'!E6,"]")</f>
        <v>Manufacturer part/catalog number []</v>
      </c>
      <c r="E2" s="10" t="str">
        <f aca="false">CONCATENATE('Catalogue properties'!F1," [",'Catalogue properties'!F6,"]")</f>
        <v>ManufacturerURL []</v>
      </c>
      <c r="F2" s="10" t="str">
        <f aca="false">CONCATENATE('Vacuum Pump'!D1," [",'Vacuum Pump'!D6,"]")</f>
        <v>Inlet flange type []</v>
      </c>
      <c r="G2" s="10" t="str">
        <f aca="false">CONCATENATE('Vacuum Pump'!E1," [",'Vacuum Pump'!E6,"]")</f>
        <v>Inlet flange size  []</v>
      </c>
      <c r="H2" s="10" t="str">
        <f aca="false">CONCATENATE('Vacuum Pump'!F1," [",'Vacuum Pump'!F6,"]")</f>
        <v>Outlet flange type []</v>
      </c>
      <c r="I2" s="10" t="str">
        <f aca="false">CONCATENATE('Vacuum Pump'!G1," [",'Vacuum Pump'!G6,"]")</f>
        <v>Outlet flange size []</v>
      </c>
      <c r="J2" s="10" t="str">
        <f aca="false">CONCATENATE('Vacuum Pump'!H1," [",'Vacuum Pump'!H6,"]")</f>
        <v>Coolling []</v>
      </c>
      <c r="K2" s="10" t="str">
        <f aca="false">CONCATENATE('Vacuum Pump'!I1," [",'Vacuum Pump'!I6,"]")</f>
        <v>Power consumption [W]</v>
      </c>
      <c r="L2" s="10" t="str">
        <f aca="false">CONCATENATE('Dry vacuum pumps'!D1," [",'Dry vacuum pumps'!D6,"]")</f>
        <v>Peak pumping speed [m3/hod]</v>
      </c>
      <c r="M2" s="10" t="str">
        <f aca="false">CONCATENATE('Dry vacuum pumps'!E1," [",'Dry vacuum pumps'!E6,"]")</f>
        <v>Ultimate vacuum  [mbar]</v>
      </c>
      <c r="N2" s="10" t="s">
        <v>78</v>
      </c>
    </row>
    <row r="3" customFormat="false" ht="26.25" hidden="false" customHeight="true" outlineLevel="0" collapsed="false">
      <c r="A3" s="6" t="s">
        <v>166</v>
      </c>
      <c r="B3" s="11" t="s">
        <v>167</v>
      </c>
      <c r="C3" s="12" t="s">
        <v>10</v>
      </c>
      <c r="D3" s="6" t="s">
        <v>168</v>
      </c>
      <c r="E3" s="13" t="s">
        <v>169</v>
      </c>
      <c r="F3" s="14" t="s">
        <v>16</v>
      </c>
      <c r="G3" s="14" t="s">
        <v>13</v>
      </c>
      <c r="H3" s="14" t="s">
        <v>16</v>
      </c>
      <c r="I3" s="14" t="s">
        <v>170</v>
      </c>
      <c r="J3" s="14" t="s">
        <v>11</v>
      </c>
      <c r="K3" s="6" t="n">
        <v>260</v>
      </c>
      <c r="L3" s="6" t="n">
        <v>22</v>
      </c>
      <c r="M3" s="6" t="n">
        <v>0.03</v>
      </c>
      <c r="N3" s="6" t="n">
        <v>20080036</v>
      </c>
      <c r="O3" s="6" t="n">
        <v>17040161</v>
      </c>
      <c r="P3" s="6" t="n">
        <v>20120177</v>
      </c>
      <c r="Q3" s="6" t="n">
        <v>20120178</v>
      </c>
    </row>
    <row r="4" customFormat="false" ht="26.25" hidden="false" customHeight="true" outlineLevel="0" collapsed="false">
      <c r="A4" s="6" t="s">
        <v>171</v>
      </c>
      <c r="B4" s="11" t="s">
        <v>172</v>
      </c>
      <c r="C4" s="12" t="s">
        <v>10</v>
      </c>
      <c r="D4" s="6" t="s">
        <v>173</v>
      </c>
      <c r="E4" s="13" t="s">
        <v>174</v>
      </c>
      <c r="F4" s="14" t="s">
        <v>16</v>
      </c>
      <c r="G4" s="14" t="s">
        <v>13</v>
      </c>
      <c r="H4" s="14" t="s">
        <v>16</v>
      </c>
      <c r="I4" s="14" t="s">
        <v>13</v>
      </c>
      <c r="J4" s="14" t="s">
        <v>11</v>
      </c>
      <c r="K4" s="6" t="n">
        <v>280</v>
      </c>
      <c r="L4" s="6" t="n">
        <v>11.4</v>
      </c>
      <c r="M4" s="6" t="n">
        <v>0.007</v>
      </c>
      <c r="N4" s="6" t="n">
        <v>21070035</v>
      </c>
      <c r="O4" s="6"/>
    </row>
    <row r="5" customFormat="false" ht="30.75" hidden="false" customHeight="true" outlineLevel="0" collapsed="false">
      <c r="A5" s="6" t="s">
        <v>175</v>
      </c>
      <c r="B5" s="11" t="s">
        <v>176</v>
      </c>
      <c r="C5" s="12" t="s">
        <v>5</v>
      </c>
      <c r="D5" s="6" t="s">
        <v>177</v>
      </c>
      <c r="E5" s="13" t="s">
        <v>178</v>
      </c>
      <c r="F5" s="14" t="s">
        <v>12</v>
      </c>
      <c r="G5" s="14" t="s">
        <v>21</v>
      </c>
      <c r="H5" s="14" t="s">
        <v>16</v>
      </c>
      <c r="I5" s="14" t="s">
        <v>179</v>
      </c>
      <c r="J5" s="14" t="s">
        <v>6</v>
      </c>
      <c r="K5" s="6" t="n">
        <v>2000</v>
      </c>
      <c r="L5" s="6" t="n">
        <v>480</v>
      </c>
      <c r="M5" s="6" t="n">
        <v>0.0005</v>
      </c>
      <c r="N5" s="6" t="n">
        <v>15020186</v>
      </c>
      <c r="O5" s="6" t="n">
        <v>15020187</v>
      </c>
    </row>
    <row r="6" customFormat="false" ht="30.75" hidden="false" customHeight="true" outlineLevel="0" collapsed="false">
      <c r="A6" s="6" t="s">
        <v>180</v>
      </c>
      <c r="B6" s="11" t="s">
        <v>181</v>
      </c>
      <c r="C6" s="12" t="s">
        <v>5</v>
      </c>
      <c r="D6" s="6" t="s">
        <v>182</v>
      </c>
      <c r="E6" s="13" t="s">
        <v>183</v>
      </c>
      <c r="F6" s="14" t="s">
        <v>16</v>
      </c>
      <c r="G6" s="14" t="s">
        <v>13</v>
      </c>
      <c r="H6" s="14" t="s">
        <v>16</v>
      </c>
      <c r="I6" s="14" t="s">
        <v>8</v>
      </c>
      <c r="J6" s="14" t="s">
        <v>11</v>
      </c>
      <c r="K6" s="6" t="n">
        <v>450</v>
      </c>
      <c r="L6" s="6" t="n">
        <v>14</v>
      </c>
      <c r="M6" s="6" t="n">
        <v>0.05</v>
      </c>
      <c r="N6" s="6" t="n">
        <v>17070170</v>
      </c>
      <c r="O6" s="6" t="n">
        <v>18040251</v>
      </c>
      <c r="P6" s="6" t="n">
        <v>17010423</v>
      </c>
    </row>
    <row r="7" customFormat="false" ht="26.25" hidden="false" customHeight="true" outlineLevel="0" collapsed="false">
      <c r="A7" s="6" t="s">
        <v>184</v>
      </c>
      <c r="B7" s="11" t="s">
        <v>185</v>
      </c>
      <c r="C7" s="12" t="s">
        <v>5</v>
      </c>
      <c r="D7" s="6" t="s">
        <v>186</v>
      </c>
      <c r="E7" s="13" t="s">
        <v>187</v>
      </c>
      <c r="F7" s="14" t="s">
        <v>16</v>
      </c>
      <c r="G7" s="14" t="s">
        <v>13</v>
      </c>
      <c r="H7" s="14" t="s">
        <v>16</v>
      </c>
      <c r="I7" s="14" t="s">
        <v>13</v>
      </c>
      <c r="J7" s="14" t="s">
        <v>11</v>
      </c>
      <c r="K7" s="6" t="n">
        <v>700</v>
      </c>
      <c r="L7" s="6" t="n">
        <v>27</v>
      </c>
      <c r="M7" s="6" t="n">
        <v>0.04</v>
      </c>
      <c r="N7" s="6" t="n">
        <v>18101012</v>
      </c>
    </row>
    <row r="8" customFormat="false" ht="29.25" hidden="false" customHeight="true" outlineLevel="0" collapsed="false">
      <c r="A8" s="6" t="s">
        <v>188</v>
      </c>
      <c r="B8" s="11" t="s">
        <v>189</v>
      </c>
      <c r="C8" s="12" t="s">
        <v>5</v>
      </c>
      <c r="D8" s="6" t="s">
        <v>190</v>
      </c>
      <c r="E8" s="13" t="s">
        <v>191</v>
      </c>
      <c r="F8" s="14" t="s">
        <v>16</v>
      </c>
      <c r="G8" s="14" t="s">
        <v>17</v>
      </c>
      <c r="H8" s="14" t="s">
        <v>16</v>
      </c>
      <c r="I8" s="14" t="s">
        <v>13</v>
      </c>
      <c r="J8" s="14" t="s">
        <v>11</v>
      </c>
      <c r="K8" s="6" t="n">
        <v>700</v>
      </c>
      <c r="L8" s="6" t="n">
        <v>37</v>
      </c>
      <c r="M8" s="6" t="n">
        <v>0.04</v>
      </c>
      <c r="N8" s="6" t="n">
        <v>17010421</v>
      </c>
      <c r="O8" s="6" t="n">
        <v>17010422</v>
      </c>
      <c r="P8" s="6" t="n">
        <v>16100335</v>
      </c>
      <c r="Q8" s="6" t="n">
        <v>16100336</v>
      </c>
    </row>
    <row r="9" customFormat="false" ht="21.75" hidden="false" customHeight="true" outlineLevel="0" collapsed="false">
      <c r="A9" s="6" t="s">
        <v>192</v>
      </c>
      <c r="B9" s="11" t="s">
        <v>193</v>
      </c>
      <c r="C9" s="12" t="s">
        <v>10</v>
      </c>
      <c r="D9" s="6" t="s">
        <v>194</v>
      </c>
      <c r="E9" s="13" t="s">
        <v>195</v>
      </c>
      <c r="F9" s="14" t="s">
        <v>29</v>
      </c>
      <c r="G9" s="14" t="s">
        <v>21</v>
      </c>
      <c r="H9" s="14" t="s">
        <v>16</v>
      </c>
      <c r="I9" s="14" t="s">
        <v>17</v>
      </c>
      <c r="J9" s="14" t="s">
        <v>6</v>
      </c>
      <c r="K9" s="6" t="n">
        <v>5100</v>
      </c>
      <c r="L9" s="6" t="n">
        <v>1200</v>
      </c>
      <c r="M9" s="6" t="n">
        <v>0.0007</v>
      </c>
      <c r="N9" s="6" t="n">
        <v>15121401</v>
      </c>
      <c r="O9" s="6" t="n">
        <v>15121402</v>
      </c>
      <c r="P9" s="6" t="n">
        <v>15121405</v>
      </c>
      <c r="Q9" s="6" t="n">
        <v>15121407</v>
      </c>
      <c r="R9" s="6" t="n">
        <v>15121409</v>
      </c>
      <c r="S9" s="6" t="n">
        <v>15121400</v>
      </c>
      <c r="T9" s="6" t="n">
        <v>18050507</v>
      </c>
      <c r="U9" s="6" t="n">
        <v>18050508</v>
      </c>
      <c r="V9" s="6" t="n">
        <v>18050509</v>
      </c>
      <c r="W9" s="6" t="n">
        <v>18050510</v>
      </c>
    </row>
    <row r="10" customFormat="false" ht="21.75" hidden="false" customHeight="true" outlineLevel="0" collapsed="false">
      <c r="A10" s="6" t="s">
        <v>196</v>
      </c>
      <c r="B10" s="11" t="s">
        <v>193</v>
      </c>
      <c r="C10" s="12" t="s">
        <v>10</v>
      </c>
      <c r="D10" s="6" t="s">
        <v>197</v>
      </c>
      <c r="E10" s="13" t="s">
        <v>198</v>
      </c>
      <c r="F10" s="14" t="s">
        <v>29</v>
      </c>
      <c r="G10" s="14" t="s">
        <v>32</v>
      </c>
      <c r="H10" s="14" t="s">
        <v>16</v>
      </c>
      <c r="I10" s="14" t="s">
        <v>17</v>
      </c>
      <c r="J10" s="14" t="s">
        <v>6</v>
      </c>
      <c r="K10" s="6" t="n">
        <v>4000</v>
      </c>
      <c r="L10" s="6" t="n">
        <v>250</v>
      </c>
      <c r="M10" s="6" t="n">
        <v>0.004</v>
      </c>
      <c r="N10" s="6" t="n">
        <v>15121404</v>
      </c>
      <c r="O10" s="6"/>
      <c r="P10" s="6"/>
      <c r="Q10" s="6"/>
      <c r="R10" s="6"/>
      <c r="S10" s="6"/>
    </row>
    <row r="11" customFormat="false" ht="22.5" hidden="false" customHeight="true" outlineLevel="0" collapsed="false">
      <c r="A11" s="6" t="s">
        <v>199</v>
      </c>
      <c r="B11" s="11" t="s">
        <v>193</v>
      </c>
      <c r="C11" s="12" t="s">
        <v>10</v>
      </c>
      <c r="D11" s="6" t="s">
        <v>200</v>
      </c>
      <c r="E11" s="13" t="s">
        <v>201</v>
      </c>
      <c r="F11" s="14" t="s">
        <v>29</v>
      </c>
      <c r="G11" s="14" t="s">
        <v>24</v>
      </c>
      <c r="H11" s="14" t="s">
        <v>16</v>
      </c>
      <c r="I11" s="14" t="s">
        <v>35</v>
      </c>
      <c r="J11" s="14" t="s">
        <v>6</v>
      </c>
      <c r="K11" s="6" t="n">
        <v>8800</v>
      </c>
      <c r="L11" s="6" t="n">
        <v>2200</v>
      </c>
      <c r="M11" s="6" t="n">
        <v>0.00054</v>
      </c>
      <c r="N11" s="6" t="n">
        <v>15121400</v>
      </c>
      <c r="O11" s="6" t="n">
        <v>15121405</v>
      </c>
      <c r="P11" s="6" t="n">
        <v>15121415</v>
      </c>
      <c r="Q11" s="6" t="n">
        <v>18050511</v>
      </c>
      <c r="R11" s="6" t="n">
        <v>18050512</v>
      </c>
      <c r="S11" s="6" t="n">
        <v>18080703</v>
      </c>
    </row>
    <row r="12" customFormat="false" ht="27" hidden="false" customHeight="true" outlineLevel="0" collapsed="false">
      <c r="A12" s="6" t="s">
        <v>202</v>
      </c>
      <c r="B12" s="11" t="s">
        <v>193</v>
      </c>
      <c r="C12" s="12" t="s">
        <v>10</v>
      </c>
      <c r="D12" s="6" t="s">
        <v>203</v>
      </c>
      <c r="E12" s="13" t="s">
        <v>204</v>
      </c>
      <c r="F12" s="14" t="s">
        <v>29</v>
      </c>
      <c r="G12" s="14" t="s">
        <v>24</v>
      </c>
      <c r="H12" s="14" t="s">
        <v>16</v>
      </c>
      <c r="I12" s="14" t="s">
        <v>35</v>
      </c>
      <c r="J12" s="14" t="s">
        <v>6</v>
      </c>
      <c r="K12" s="6" t="n">
        <v>11500</v>
      </c>
      <c r="L12" s="6" t="n">
        <v>3450</v>
      </c>
      <c r="M12" s="6" t="n">
        <v>0.0005</v>
      </c>
      <c r="N12" s="6" t="n">
        <v>15121403</v>
      </c>
      <c r="O12" s="6" t="n">
        <v>15121412</v>
      </c>
      <c r="P12" s="6" t="n">
        <v>15121413</v>
      </c>
      <c r="Q12" s="6" t="n">
        <v>15121410</v>
      </c>
      <c r="R12" s="6" t="n">
        <v>15121411</v>
      </c>
      <c r="S12" s="6" t="n">
        <v>15121414</v>
      </c>
      <c r="T12" s="6" t="n">
        <v>15121406</v>
      </c>
      <c r="U12" s="6" t="n">
        <v>15121408</v>
      </c>
    </row>
    <row r="13" customFormat="false" ht="22.5" hidden="false" customHeight="true" outlineLevel="0" collapsed="false">
      <c r="A13" s="6" t="s">
        <v>205</v>
      </c>
      <c r="B13" s="11" t="s">
        <v>206</v>
      </c>
      <c r="C13" s="12" t="s">
        <v>15</v>
      </c>
      <c r="D13" s="6" t="s">
        <v>207</v>
      </c>
      <c r="E13" s="13" t="s">
        <v>208</v>
      </c>
      <c r="F13" s="14" t="s">
        <v>16</v>
      </c>
      <c r="G13" s="14" t="s">
        <v>13</v>
      </c>
      <c r="H13" s="14" t="s">
        <v>16</v>
      </c>
      <c r="I13" s="14" t="s">
        <v>8</v>
      </c>
      <c r="J13" s="14" t="s">
        <v>11</v>
      </c>
      <c r="K13" s="6" t="n">
        <v>600</v>
      </c>
      <c r="L13" s="6" t="n">
        <v>40</v>
      </c>
      <c r="M13" s="6" t="n">
        <v>0.03</v>
      </c>
      <c r="N13" s="6" t="n">
        <v>19040087</v>
      </c>
    </row>
    <row r="14" customFormat="false" ht="21" hidden="false" customHeight="true" outlineLevel="0" collapsed="false">
      <c r="A14" s="6" t="s">
        <v>209</v>
      </c>
      <c r="B14" s="11" t="s">
        <v>206</v>
      </c>
      <c r="C14" s="12" t="s">
        <v>15</v>
      </c>
      <c r="D14" s="6" t="s">
        <v>210</v>
      </c>
      <c r="E14" s="13" t="s">
        <v>211</v>
      </c>
      <c r="F14" s="14" t="s">
        <v>16</v>
      </c>
      <c r="G14" s="14" t="s">
        <v>13</v>
      </c>
      <c r="H14" s="14" t="s">
        <v>16</v>
      </c>
      <c r="I14" s="14" t="s">
        <v>8</v>
      </c>
      <c r="J14" s="14" t="s">
        <v>11</v>
      </c>
      <c r="K14" s="6" t="n">
        <v>600</v>
      </c>
      <c r="L14" s="6" t="n">
        <v>55</v>
      </c>
      <c r="M14" s="6" t="n">
        <v>0.03</v>
      </c>
      <c r="N14" s="6" t="n">
        <v>18101184</v>
      </c>
    </row>
    <row r="15" customFormat="false" ht="15" hidden="false" customHeight="false" outlineLevel="0" collapsed="false">
      <c r="C15" s="12"/>
      <c r="F15" s="14"/>
      <c r="G15" s="14"/>
      <c r="H15" s="14"/>
      <c r="I15" s="14"/>
      <c r="J15" s="14"/>
    </row>
    <row r="16" customFormat="false" ht="15" hidden="false" customHeight="false" outlineLevel="0" collapsed="false">
      <c r="C16" s="12"/>
      <c r="F16" s="14"/>
      <c r="G16" s="14"/>
      <c r="H16" s="14"/>
      <c r="I16" s="14"/>
      <c r="J16" s="14"/>
    </row>
    <row r="17" customFormat="false" ht="15" hidden="false" customHeight="false" outlineLevel="0" collapsed="false">
      <c r="C17" s="12"/>
      <c r="F17" s="14"/>
      <c r="G17" s="14"/>
      <c r="H17" s="14"/>
      <c r="I17" s="14"/>
      <c r="J17" s="14"/>
    </row>
    <row r="18" customFormat="false" ht="15" hidden="false" customHeight="false" outlineLevel="0" collapsed="false">
      <c r="C18" s="12"/>
      <c r="F18" s="14"/>
      <c r="G18" s="14"/>
      <c r="H18" s="14"/>
      <c r="I18" s="14"/>
      <c r="J18" s="14"/>
    </row>
    <row r="19" customFormat="false" ht="15" hidden="false" customHeight="false" outlineLevel="0" collapsed="false">
      <c r="C19" s="12"/>
      <c r="F19" s="14"/>
      <c r="G19" s="14"/>
      <c r="H19" s="14"/>
      <c r="I19" s="14"/>
      <c r="J19" s="14"/>
    </row>
    <row r="20" customFormat="false" ht="15" hidden="false" customHeight="false" outlineLevel="0" collapsed="false">
      <c r="C20" s="12"/>
      <c r="F20" s="14"/>
      <c r="G20" s="14"/>
      <c r="H20" s="14"/>
      <c r="I20" s="14"/>
      <c r="J20" s="14"/>
    </row>
    <row r="21" customFormat="false" ht="15" hidden="false" customHeight="false" outlineLevel="0" collapsed="false">
      <c r="C21" s="12"/>
      <c r="F21" s="14"/>
      <c r="G21" s="14"/>
      <c r="H21" s="14"/>
      <c r="I21" s="14"/>
      <c r="J21" s="14"/>
    </row>
    <row r="22" customFormat="false" ht="15" hidden="false" customHeight="false" outlineLevel="0" collapsed="false">
      <c r="C22" s="12"/>
      <c r="F22" s="14"/>
      <c r="G22" s="14"/>
      <c r="H22" s="14"/>
      <c r="I22" s="14"/>
      <c r="J22" s="14"/>
    </row>
    <row r="23" customFormat="false" ht="15" hidden="false" customHeight="false" outlineLevel="0" collapsed="false">
      <c r="C23" s="12"/>
      <c r="F23" s="14"/>
      <c r="G23" s="14"/>
      <c r="H23" s="14"/>
      <c r="I23" s="14"/>
      <c r="J23" s="14"/>
    </row>
    <row r="24" customFormat="false" ht="15" hidden="false" customHeight="false" outlineLevel="0" collapsed="false">
      <c r="C24" s="12"/>
      <c r="F24" s="14"/>
      <c r="G24" s="14"/>
      <c r="H24" s="14"/>
      <c r="I24" s="14"/>
      <c r="J24" s="14"/>
    </row>
    <row r="25" customFormat="false" ht="15" hidden="false" customHeight="false" outlineLevel="0" collapsed="false">
      <c r="C25" s="12"/>
      <c r="F25" s="14"/>
      <c r="G25" s="14"/>
      <c r="H25" s="14"/>
      <c r="I25" s="14"/>
      <c r="J25" s="14"/>
    </row>
    <row r="26" customFormat="false" ht="15" hidden="false" customHeight="false" outlineLevel="0" collapsed="false">
      <c r="C26" s="12"/>
      <c r="F26" s="14"/>
      <c r="G26" s="14"/>
      <c r="H26" s="14"/>
      <c r="I26" s="14"/>
      <c r="J26" s="14"/>
    </row>
    <row r="27" customFormat="false" ht="15" hidden="false" customHeight="false" outlineLevel="0" collapsed="false">
      <c r="C27" s="12"/>
      <c r="F27" s="14"/>
      <c r="G27" s="14"/>
      <c r="H27" s="14"/>
      <c r="I27" s="14"/>
      <c r="J27" s="14"/>
    </row>
    <row r="28" customFormat="false" ht="15" hidden="false" customHeight="false" outlineLevel="0" collapsed="false">
      <c r="C28" s="12"/>
      <c r="F28" s="14"/>
      <c r="G28" s="14"/>
      <c r="H28" s="14"/>
      <c r="I28" s="14"/>
      <c r="J28" s="14"/>
    </row>
    <row r="29" customFormat="false" ht="15" hidden="false" customHeight="false" outlineLevel="0" collapsed="false">
      <c r="C29" s="12"/>
      <c r="F29" s="14"/>
      <c r="G29" s="14"/>
      <c r="H29" s="14"/>
      <c r="I29" s="14"/>
      <c r="J29" s="14"/>
    </row>
    <row r="30" customFormat="false" ht="15" hidden="false" customHeight="false" outlineLevel="0" collapsed="false">
      <c r="C30" s="12"/>
      <c r="F30" s="14"/>
      <c r="G30" s="14"/>
      <c r="H30" s="14"/>
      <c r="I30" s="14"/>
      <c r="J30" s="14"/>
    </row>
    <row r="31" customFormat="false" ht="15" hidden="false" customHeight="false" outlineLevel="0" collapsed="false">
      <c r="C31" s="12"/>
      <c r="F31" s="14"/>
      <c r="G31" s="14"/>
      <c r="H31" s="14"/>
      <c r="I31" s="14"/>
      <c r="J31" s="14"/>
    </row>
    <row r="32" customFormat="false" ht="15" hidden="false" customHeight="false" outlineLevel="0" collapsed="false">
      <c r="C32" s="12"/>
      <c r="F32" s="14"/>
      <c r="G32" s="14"/>
      <c r="H32" s="14"/>
      <c r="I32" s="14"/>
      <c r="J32" s="14"/>
    </row>
    <row r="33" customFormat="false" ht="15" hidden="false" customHeight="false" outlineLevel="0" collapsed="false">
      <c r="C33" s="12"/>
      <c r="F33" s="14"/>
      <c r="G33" s="14"/>
      <c r="H33" s="14"/>
      <c r="I33" s="14"/>
      <c r="J33" s="14"/>
    </row>
    <row r="34" customFormat="false" ht="15" hidden="false" customHeight="false" outlineLevel="0" collapsed="false">
      <c r="C34" s="12"/>
      <c r="F34" s="14"/>
      <c r="G34" s="14"/>
      <c r="H34" s="14"/>
      <c r="I34" s="14"/>
      <c r="J34" s="14"/>
    </row>
    <row r="35" customFormat="false" ht="15" hidden="false" customHeight="false" outlineLevel="0" collapsed="false">
      <c r="C35" s="12"/>
      <c r="F35" s="14"/>
      <c r="G35" s="14"/>
      <c r="H35" s="14"/>
      <c r="I35" s="14"/>
      <c r="J35" s="14"/>
    </row>
    <row r="36" customFormat="false" ht="15" hidden="false" customHeight="false" outlineLevel="0" collapsed="false">
      <c r="C36" s="12"/>
      <c r="F36" s="14"/>
      <c r="G36" s="14"/>
      <c r="H36" s="14"/>
      <c r="I36" s="14"/>
      <c r="J36" s="14"/>
    </row>
    <row r="37" customFormat="false" ht="15" hidden="false" customHeight="false" outlineLevel="0" collapsed="false">
      <c r="C37" s="12"/>
      <c r="F37" s="14"/>
      <c r="G37" s="14"/>
      <c r="H37" s="14"/>
      <c r="I37" s="14"/>
      <c r="J37" s="14"/>
    </row>
    <row r="38" customFormat="false" ht="15" hidden="false" customHeight="false" outlineLevel="0" collapsed="false">
      <c r="C38" s="12"/>
      <c r="F38" s="14"/>
      <c r="G38" s="14"/>
      <c r="H38" s="14"/>
      <c r="I38" s="14"/>
      <c r="J38" s="14"/>
    </row>
    <row r="39" customFormat="false" ht="15" hidden="false" customHeight="false" outlineLevel="0" collapsed="false">
      <c r="C39" s="12"/>
      <c r="F39" s="14"/>
      <c r="G39" s="14"/>
      <c r="H39" s="14"/>
      <c r="I39" s="14"/>
      <c r="J39" s="14"/>
    </row>
    <row r="40" customFormat="false" ht="15" hidden="false" customHeight="false" outlineLevel="0" collapsed="false">
      <c r="C40" s="12"/>
      <c r="F40" s="14"/>
      <c r="G40" s="14"/>
      <c r="H40" s="14"/>
      <c r="I40" s="14"/>
      <c r="J40" s="14"/>
    </row>
    <row r="41" customFormat="false" ht="15" hidden="false" customHeight="false" outlineLevel="0" collapsed="false">
      <c r="C41" s="12"/>
      <c r="F41" s="14"/>
      <c r="G41" s="14"/>
      <c r="H41" s="14"/>
      <c r="I41" s="14"/>
      <c r="J41" s="14"/>
    </row>
    <row r="42" customFormat="false" ht="15" hidden="false" customHeight="false" outlineLevel="0" collapsed="false">
      <c r="C42" s="12"/>
      <c r="F42" s="14"/>
      <c r="G42" s="14"/>
      <c r="H42" s="14"/>
      <c r="I42" s="14"/>
      <c r="J42" s="14"/>
    </row>
    <row r="43" customFormat="false" ht="15" hidden="false" customHeight="false" outlineLevel="0" collapsed="false">
      <c r="C43" s="12"/>
      <c r="F43" s="14"/>
      <c r="G43" s="14"/>
      <c r="H43" s="14"/>
      <c r="I43" s="14"/>
      <c r="J43" s="14"/>
    </row>
    <row r="44" customFormat="false" ht="15" hidden="false" customHeight="false" outlineLevel="0" collapsed="false">
      <c r="C44" s="12"/>
      <c r="F44" s="14"/>
      <c r="G44" s="14"/>
      <c r="H44" s="14"/>
      <c r="I44" s="14"/>
      <c r="J44" s="14"/>
    </row>
    <row r="45" customFormat="false" ht="15" hidden="false" customHeight="false" outlineLevel="0" collapsed="false">
      <c r="C45" s="12"/>
      <c r="F45" s="14"/>
      <c r="G45" s="14"/>
      <c r="H45" s="14"/>
      <c r="I45" s="14"/>
      <c r="J45" s="14"/>
    </row>
    <row r="46" customFormat="false" ht="15" hidden="false" customHeight="false" outlineLevel="0" collapsed="false">
      <c r="C46" s="12"/>
      <c r="F46" s="14"/>
      <c r="G46" s="14"/>
      <c r="H46" s="14"/>
      <c r="I46" s="14"/>
      <c r="J46" s="14"/>
    </row>
    <row r="47" customFormat="false" ht="15" hidden="false" customHeight="false" outlineLevel="0" collapsed="false">
      <c r="C47" s="12"/>
      <c r="F47" s="14"/>
      <c r="G47" s="14"/>
      <c r="H47" s="14"/>
      <c r="I47" s="14"/>
      <c r="J47" s="14"/>
    </row>
    <row r="48" customFormat="false" ht="15" hidden="false" customHeight="false" outlineLevel="0" collapsed="false">
      <c r="C48" s="12"/>
      <c r="F48" s="14"/>
      <c r="G48" s="14"/>
      <c r="H48" s="14"/>
      <c r="I48" s="14"/>
      <c r="J48" s="14"/>
    </row>
    <row r="49" customFormat="false" ht="15" hidden="false" customHeight="false" outlineLevel="0" collapsed="false">
      <c r="C49" s="12"/>
      <c r="F49" s="14"/>
      <c r="G49" s="14"/>
      <c r="H49" s="14"/>
      <c r="I49" s="14"/>
      <c r="J49" s="14"/>
    </row>
    <row r="50" customFormat="false" ht="15" hidden="false" customHeight="false" outlineLevel="0" collapsed="false">
      <c r="C50" s="12"/>
      <c r="F50" s="14"/>
      <c r="G50" s="14"/>
      <c r="H50" s="14"/>
      <c r="I50" s="14"/>
      <c r="J50" s="14"/>
    </row>
    <row r="51" customFormat="false" ht="15" hidden="false" customHeight="false" outlineLevel="0" collapsed="false">
      <c r="C51" s="12"/>
      <c r="F51" s="14"/>
      <c r="G51" s="14"/>
      <c r="H51" s="14"/>
      <c r="I51" s="14"/>
      <c r="J51" s="14"/>
    </row>
    <row r="52" customFormat="false" ht="15" hidden="false" customHeight="false" outlineLevel="0" collapsed="false">
      <c r="C52" s="12"/>
      <c r="F52" s="14"/>
      <c r="G52" s="14"/>
      <c r="H52" s="14"/>
      <c r="I52" s="14"/>
      <c r="J52" s="14"/>
    </row>
    <row r="53" customFormat="false" ht="15" hidden="false" customHeight="false" outlineLevel="0" collapsed="false">
      <c r="C53" s="12"/>
      <c r="F53" s="14"/>
      <c r="G53" s="14"/>
      <c r="H53" s="14"/>
      <c r="I53" s="14"/>
      <c r="J53" s="14"/>
    </row>
    <row r="54" customFormat="false" ht="15" hidden="false" customHeight="false" outlineLevel="0" collapsed="false">
      <c r="C54" s="12"/>
      <c r="F54" s="14"/>
      <c r="G54" s="14"/>
      <c r="H54" s="14"/>
      <c r="I54" s="14"/>
      <c r="J54" s="14"/>
    </row>
    <row r="55" customFormat="false" ht="15" hidden="false" customHeight="false" outlineLevel="0" collapsed="false">
      <c r="C55" s="12"/>
      <c r="F55" s="14"/>
      <c r="G55" s="14"/>
      <c r="H55" s="14"/>
      <c r="I55" s="14"/>
      <c r="J55" s="14"/>
    </row>
    <row r="56" customFormat="false" ht="15" hidden="false" customHeight="false" outlineLevel="0" collapsed="false">
      <c r="C56" s="12"/>
      <c r="F56" s="14"/>
      <c r="G56" s="14"/>
      <c r="H56" s="14"/>
      <c r="I56" s="14"/>
      <c r="J56" s="14"/>
    </row>
    <row r="57" customFormat="false" ht="15" hidden="false" customHeight="false" outlineLevel="0" collapsed="false">
      <c r="C57" s="12"/>
      <c r="F57" s="14"/>
      <c r="G57" s="14"/>
      <c r="H57" s="14"/>
      <c r="I57" s="14"/>
      <c r="J57" s="14"/>
    </row>
    <row r="58" customFormat="false" ht="15" hidden="false" customHeight="false" outlineLevel="0" collapsed="false">
      <c r="C58" s="12"/>
      <c r="F58" s="14"/>
      <c r="G58" s="14"/>
      <c r="H58" s="14"/>
      <c r="I58" s="14"/>
      <c r="J58" s="14"/>
    </row>
    <row r="59" customFormat="false" ht="15" hidden="false" customHeight="false" outlineLevel="0" collapsed="false">
      <c r="C59" s="12"/>
      <c r="F59" s="14"/>
      <c r="G59" s="14"/>
      <c r="H59" s="14"/>
      <c r="I59" s="14"/>
      <c r="J59" s="14"/>
    </row>
    <row r="60" customFormat="false" ht="15" hidden="false" customHeight="false" outlineLevel="0" collapsed="false">
      <c r="C60" s="12"/>
      <c r="F60" s="14"/>
      <c r="G60" s="14"/>
      <c r="H60" s="14"/>
      <c r="I60" s="14"/>
      <c r="J60" s="14"/>
    </row>
    <row r="61" customFormat="false" ht="15" hidden="false" customHeight="false" outlineLevel="0" collapsed="false">
      <c r="C61" s="12"/>
      <c r="F61" s="14"/>
      <c r="G61" s="14"/>
      <c r="H61" s="14"/>
      <c r="I61" s="14"/>
      <c r="J61" s="14"/>
    </row>
    <row r="62" customFormat="false" ht="15" hidden="false" customHeight="false" outlineLevel="0" collapsed="false">
      <c r="C62" s="12"/>
      <c r="F62" s="14"/>
      <c r="G62" s="14"/>
      <c r="H62" s="14"/>
      <c r="I62" s="14"/>
      <c r="J62" s="14"/>
    </row>
    <row r="63" customFormat="false" ht="15" hidden="false" customHeight="false" outlineLevel="0" collapsed="false">
      <c r="C63" s="12"/>
      <c r="F63" s="14"/>
      <c r="G63" s="14"/>
      <c r="H63" s="14"/>
      <c r="I63" s="14"/>
      <c r="J63" s="14"/>
    </row>
    <row r="64" customFormat="false" ht="15" hidden="false" customHeight="false" outlineLevel="0" collapsed="false">
      <c r="C64" s="12"/>
      <c r="F64" s="14"/>
      <c r="G64" s="14"/>
      <c r="H64" s="14"/>
      <c r="I64" s="14"/>
      <c r="J64" s="14"/>
    </row>
    <row r="65" customFormat="false" ht="15" hidden="false" customHeight="false" outlineLevel="0" collapsed="false">
      <c r="C65" s="12"/>
      <c r="F65" s="14"/>
      <c r="G65" s="14"/>
      <c r="H65" s="14"/>
      <c r="I65" s="14"/>
      <c r="J65" s="14"/>
    </row>
    <row r="66" customFormat="false" ht="15" hidden="false" customHeight="false" outlineLevel="0" collapsed="false">
      <c r="C66" s="12"/>
      <c r="F66" s="14"/>
      <c r="G66" s="14"/>
      <c r="H66" s="14"/>
      <c r="I66" s="14"/>
      <c r="J66" s="14"/>
    </row>
    <row r="67" customFormat="false" ht="15" hidden="false" customHeight="false" outlineLevel="0" collapsed="false">
      <c r="C67" s="12"/>
      <c r="F67" s="14"/>
      <c r="G67" s="14"/>
      <c r="H67" s="14"/>
      <c r="I67" s="14"/>
      <c r="J67" s="14"/>
    </row>
    <row r="68" customFormat="false" ht="15" hidden="false" customHeight="false" outlineLevel="0" collapsed="false">
      <c r="C68" s="12"/>
      <c r="F68" s="14"/>
      <c r="G68" s="14"/>
      <c r="H68" s="14"/>
      <c r="I68" s="14"/>
      <c r="J68" s="14"/>
    </row>
    <row r="69" customFormat="false" ht="15" hidden="false" customHeight="false" outlineLevel="0" collapsed="false">
      <c r="C69" s="12"/>
      <c r="F69" s="14"/>
      <c r="G69" s="14"/>
      <c r="H69" s="14"/>
      <c r="I69" s="14"/>
      <c r="J69" s="14"/>
    </row>
    <row r="70" customFormat="false" ht="15" hidden="false" customHeight="false" outlineLevel="0" collapsed="false">
      <c r="C70" s="12"/>
      <c r="F70" s="14"/>
      <c r="G70" s="14"/>
      <c r="H70" s="14"/>
      <c r="I70" s="14"/>
      <c r="J70" s="14"/>
    </row>
    <row r="71" customFormat="false" ht="15" hidden="false" customHeight="false" outlineLevel="0" collapsed="false">
      <c r="C71" s="12"/>
      <c r="F71" s="14"/>
      <c r="G71" s="14"/>
      <c r="H71" s="14"/>
      <c r="I71" s="14"/>
      <c r="J71" s="14"/>
    </row>
    <row r="72" customFormat="false" ht="15" hidden="false" customHeight="false" outlineLevel="0" collapsed="false">
      <c r="C72" s="12"/>
      <c r="F72" s="14"/>
      <c r="G72" s="14"/>
      <c r="H72" s="14"/>
      <c r="I72" s="14"/>
      <c r="J72" s="14"/>
    </row>
    <row r="73" customFormat="false" ht="15" hidden="false" customHeight="false" outlineLevel="0" collapsed="false">
      <c r="C73" s="12"/>
      <c r="F73" s="14"/>
      <c r="G73" s="14"/>
      <c r="H73" s="14"/>
      <c r="I73" s="14"/>
      <c r="J73" s="14"/>
    </row>
    <row r="74" customFormat="false" ht="15" hidden="false" customHeight="false" outlineLevel="0" collapsed="false">
      <c r="C74" s="12"/>
      <c r="F74" s="14"/>
      <c r="G74" s="14"/>
      <c r="H74" s="14"/>
      <c r="I74" s="14"/>
      <c r="J74" s="14"/>
    </row>
    <row r="75" customFormat="false" ht="15" hidden="false" customHeight="false" outlineLevel="0" collapsed="false">
      <c r="C75" s="12"/>
      <c r="F75" s="14"/>
      <c r="G75" s="14"/>
      <c r="H75" s="14"/>
      <c r="I75" s="14"/>
      <c r="J75" s="14"/>
    </row>
    <row r="76" customFormat="false" ht="15" hidden="false" customHeight="false" outlineLevel="0" collapsed="false">
      <c r="C76" s="12"/>
      <c r="F76" s="14"/>
      <c r="G76" s="14"/>
      <c r="H76" s="14"/>
      <c r="I76" s="14"/>
      <c r="J76" s="14"/>
    </row>
    <row r="77" customFormat="false" ht="15" hidden="false" customHeight="false" outlineLevel="0" collapsed="false">
      <c r="C77" s="12"/>
      <c r="F77" s="14"/>
      <c r="G77" s="14"/>
      <c r="H77" s="14"/>
      <c r="I77" s="14"/>
      <c r="J77" s="14"/>
    </row>
    <row r="78" customFormat="false" ht="15" hidden="false" customHeight="false" outlineLevel="0" collapsed="false">
      <c r="C78" s="12"/>
      <c r="F78" s="14"/>
      <c r="G78" s="14"/>
      <c r="H78" s="14"/>
      <c r="I78" s="14"/>
      <c r="J78" s="14"/>
    </row>
    <row r="79" customFormat="false" ht="15" hidden="false" customHeight="false" outlineLevel="0" collapsed="false">
      <c r="C79" s="12"/>
      <c r="F79" s="14"/>
      <c r="G79" s="14"/>
      <c r="H79" s="14"/>
      <c r="I79" s="14"/>
      <c r="J79" s="14"/>
    </row>
    <row r="80" customFormat="false" ht="15" hidden="false" customHeight="false" outlineLevel="0" collapsed="false">
      <c r="C80" s="12"/>
      <c r="F80" s="14"/>
      <c r="G80" s="14"/>
      <c r="H80" s="14"/>
      <c r="I80" s="14"/>
      <c r="J80" s="14"/>
    </row>
    <row r="81" customFormat="false" ht="15" hidden="false" customHeight="false" outlineLevel="0" collapsed="false">
      <c r="C81" s="12"/>
      <c r="F81" s="14"/>
      <c r="G81" s="14"/>
      <c r="H81" s="14"/>
      <c r="I81" s="14"/>
      <c r="J81" s="14"/>
    </row>
    <row r="82" customFormat="false" ht="15" hidden="false" customHeight="false" outlineLevel="0" collapsed="false">
      <c r="C82" s="12"/>
      <c r="F82" s="14"/>
      <c r="G82" s="14"/>
      <c r="H82" s="14"/>
      <c r="I82" s="14"/>
      <c r="J82" s="14"/>
    </row>
    <row r="83" customFormat="false" ht="15" hidden="false" customHeight="false" outlineLevel="0" collapsed="false">
      <c r="C83" s="12"/>
      <c r="F83" s="14"/>
      <c r="G83" s="14"/>
      <c r="H83" s="14"/>
      <c r="I83" s="14"/>
      <c r="J83" s="14"/>
    </row>
    <row r="84" customFormat="false" ht="15" hidden="false" customHeight="false" outlineLevel="0" collapsed="false">
      <c r="C84" s="12"/>
      <c r="F84" s="14"/>
      <c r="G84" s="14"/>
      <c r="H84" s="14"/>
      <c r="I84" s="14"/>
      <c r="J84" s="14"/>
    </row>
    <row r="85" customFormat="false" ht="15" hidden="false" customHeight="false" outlineLevel="0" collapsed="false">
      <c r="C85" s="12"/>
      <c r="F85" s="14"/>
      <c r="G85" s="14"/>
      <c r="H85" s="14"/>
      <c r="I85" s="14"/>
      <c r="J85" s="14"/>
    </row>
    <row r="86" customFormat="false" ht="15" hidden="false" customHeight="false" outlineLevel="0" collapsed="false">
      <c r="C86" s="12"/>
      <c r="F86" s="14"/>
      <c r="G86" s="14"/>
      <c r="H86" s="14"/>
      <c r="I86" s="14"/>
      <c r="J86" s="14"/>
    </row>
    <row r="87" customFormat="false" ht="15" hidden="false" customHeight="false" outlineLevel="0" collapsed="false">
      <c r="C87" s="12"/>
      <c r="F87" s="14"/>
      <c r="G87" s="14"/>
      <c r="H87" s="14"/>
      <c r="I87" s="14"/>
      <c r="J87" s="14"/>
    </row>
    <row r="88" customFormat="false" ht="15" hidden="false" customHeight="false" outlineLevel="0" collapsed="false">
      <c r="C88" s="12"/>
      <c r="F88" s="14"/>
      <c r="G88" s="14"/>
      <c r="H88" s="14"/>
      <c r="I88" s="14"/>
      <c r="J88" s="14"/>
    </row>
    <row r="89" customFormat="false" ht="15" hidden="false" customHeight="false" outlineLevel="0" collapsed="false">
      <c r="C89" s="12"/>
      <c r="F89" s="14"/>
      <c r="G89" s="14"/>
      <c r="H89" s="14"/>
      <c r="I89" s="14"/>
      <c r="J89" s="14"/>
    </row>
    <row r="90" customFormat="false" ht="15" hidden="false" customHeight="false" outlineLevel="0" collapsed="false">
      <c r="C90" s="12"/>
      <c r="F90" s="14"/>
      <c r="G90" s="14"/>
      <c r="H90" s="14"/>
      <c r="I90" s="14"/>
      <c r="J90" s="14"/>
    </row>
    <row r="91" customFormat="false" ht="15" hidden="false" customHeight="false" outlineLevel="0" collapsed="false">
      <c r="C91" s="12"/>
      <c r="F91" s="14"/>
      <c r="G91" s="14"/>
      <c r="H91" s="14"/>
      <c r="I91" s="14"/>
      <c r="J91" s="14"/>
    </row>
    <row r="92" customFormat="false" ht="15" hidden="false" customHeight="false" outlineLevel="0" collapsed="false">
      <c r="C92" s="12"/>
      <c r="F92" s="14"/>
      <c r="G92" s="14"/>
      <c r="H92" s="14"/>
      <c r="I92" s="14"/>
      <c r="J92" s="14"/>
    </row>
    <row r="93" customFormat="false" ht="15" hidden="false" customHeight="false" outlineLevel="0" collapsed="false">
      <c r="C93" s="12"/>
      <c r="F93" s="14"/>
      <c r="G93" s="14"/>
      <c r="H93" s="14"/>
      <c r="I93" s="14"/>
      <c r="J93" s="14"/>
    </row>
    <row r="94" customFormat="false" ht="15" hidden="false" customHeight="false" outlineLevel="0" collapsed="false">
      <c r="C94" s="12"/>
      <c r="F94" s="14"/>
      <c r="G94" s="14"/>
      <c r="H94" s="14"/>
      <c r="I94" s="14"/>
      <c r="J94" s="14"/>
    </row>
    <row r="95" customFormat="false" ht="15" hidden="false" customHeight="false" outlineLevel="0" collapsed="false">
      <c r="C95" s="12"/>
      <c r="F95" s="14"/>
      <c r="G95" s="14"/>
      <c r="H95" s="14"/>
      <c r="I95" s="14"/>
      <c r="J95" s="14"/>
    </row>
    <row r="96" customFormat="false" ht="15" hidden="false" customHeight="false" outlineLevel="0" collapsed="false">
      <c r="C96" s="12"/>
      <c r="F96" s="14"/>
      <c r="G96" s="14"/>
      <c r="H96" s="14"/>
      <c r="I96" s="14"/>
      <c r="J96" s="14"/>
    </row>
    <row r="97" customFormat="false" ht="15" hidden="false" customHeight="false" outlineLevel="0" collapsed="false">
      <c r="C97" s="12"/>
      <c r="F97" s="14"/>
      <c r="G97" s="14"/>
      <c r="H97" s="14"/>
      <c r="I97" s="14"/>
      <c r="J97" s="14"/>
    </row>
    <row r="98" customFormat="false" ht="15" hidden="false" customHeight="false" outlineLevel="0" collapsed="false">
      <c r="C98" s="12"/>
      <c r="F98" s="14"/>
      <c r="G98" s="14"/>
      <c r="H98" s="14"/>
      <c r="I98" s="14"/>
      <c r="J98" s="14"/>
    </row>
    <row r="99" customFormat="false" ht="15" hidden="false" customHeight="false" outlineLevel="0" collapsed="false">
      <c r="C99" s="12"/>
      <c r="F99" s="14"/>
      <c r="G99" s="14"/>
      <c r="H99" s="14"/>
      <c r="I99" s="14"/>
      <c r="J99" s="14"/>
    </row>
    <row r="100" customFormat="false" ht="15" hidden="false" customHeight="false" outlineLevel="0" collapsed="false">
      <c r="C100" s="12"/>
      <c r="F100" s="14"/>
      <c r="G100" s="14"/>
      <c r="H100" s="14"/>
      <c r="I100" s="14"/>
      <c r="J100" s="14"/>
    </row>
    <row r="101" customFormat="false" ht="15" hidden="false" customHeight="false" outlineLevel="0" collapsed="false">
      <c r="C101" s="12"/>
      <c r="F101" s="14"/>
      <c r="G101" s="14"/>
      <c r="H101" s="14"/>
      <c r="I101" s="14"/>
      <c r="J101" s="14"/>
    </row>
    <row r="102" customFormat="false" ht="15" hidden="false" customHeight="false" outlineLevel="0" collapsed="false">
      <c r="C102" s="12"/>
      <c r="F102" s="14"/>
      <c r="G102" s="14"/>
      <c r="H102" s="14"/>
      <c r="I102" s="14"/>
      <c r="J102" s="14"/>
    </row>
  </sheetData>
  <dataValidations count="4">
    <dataValidation allowBlank="true" errorStyle="stop" operator="between" showDropDown="false" showErrorMessage="true" showInputMessage="true" sqref="C3:C102" type="list">
      <formula1>'Lists of values'!$A$2:$A$1000</formula1>
      <formula2>0</formula2>
    </dataValidation>
    <dataValidation allowBlank="true" errorStyle="stop" operator="between" showDropDown="false" showErrorMessage="true" showInputMessage="true" sqref="G3:G102 I3:I102" type="list">
      <formula1>'Lists of values'!$F$2:$F$20</formula1>
      <formula2>0</formula2>
    </dataValidation>
    <dataValidation allowBlank="true" errorStyle="stop" operator="between" showDropDown="false" showErrorMessage="true" showInputMessage="true" sqref="F3:F102 H3:H102" type="list">
      <formula1>'Lists of values'!$E$2:$E$20</formula1>
      <formula2>0</formula2>
    </dataValidation>
    <dataValidation allowBlank="true" errorStyle="stop" operator="between" showDropDown="false" showErrorMessage="true" showInputMessage="true" sqref="J3:J102" type="list">
      <formula1>'Lists of values'!$C$2:$C$20</formula1>
      <formula2>0</formula2>
    </dataValidation>
  </dataValidations>
  <hyperlinks>
    <hyperlink ref="E3" r:id="rId1" display="https://www.activair.cz/en/products/vacuum-pumps/dry-vacuum-pumps-for-laboratory-r-d/nxds-scroll-pumps/nxds20i"/>
    <hyperlink ref="E4" r:id="rId2" display="https://shop.edwardsvacuum.com/products/A73601983/view.aspx"/>
    <hyperlink ref="E5" r:id="rId3" display="https://www.ajvs.com/new/product_info.php?products_id=7511"/>
    <hyperlink ref="E6" r:id="rId4" display="https://www.pfeiffer-vacuum.com/en/products/vacuum-generation/multi-stage-roots-pumps/light-duty-applications/air-cooled/low-noise-acp-kits/32098/low-noise-kit-acp-15"/>
    <hyperlink ref="E7" r:id="rId5" display="https://www.pfeiffer-vacuum.com/en/products/vacuum-generation/multi-stage-roots-pumps/light-duty-applications/air-cooled/low-noise-acp-kits/32099/low-noise-kit-acp-28"/>
    <hyperlink ref="E8" r:id="rId6" display="https://www.pfeiffer-vacuum.com/en/products/vacuum-generation/multi-stage-roots-pumps/light-duty-applications/air-cooled/sd-versions/12287/acp-40-standard-single-phase-manual-gas-ballast"/>
    <hyperlink ref="E9" r:id="rId7" display="https://shop.edwardsvacuum.com/products/gs510005/view.aspx"/>
    <hyperlink ref="E10" r:id="rId8" display="https://shop.edwardsvacuum.com/Products/View.aspx?sku=GS710002"/>
    <hyperlink ref="E11" r:id="rId9" display="https://shop.edwardsvacuum.com/Products/View.aspx?sku=GSF150000000"/>
    <hyperlink ref="E12" r:id="rId10" display="https://shop.edwardsvacuum.com/Products/View.aspx?sku=GSP150000000"/>
    <hyperlink ref="E13" r:id="rId11" display="https://www.leyboldproducts.de/en/products/dry-compressing-vacuum-pumps/ecodry-plus/pumps/2678/ecodry-40-plus"/>
    <hyperlink ref="E14" r:id="rId12" display="https://www.leyboldproducts.de/en/products/dry-compressing-vacuum-pumps/ecodry-plus/pumps/2679/ecodry-65-plus?c=15258"/>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E699"/>
    <pageSetUpPr fitToPage="false"/>
  </sheetPr>
  <dimension ref="A1:F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4" activeCellId="0" sqref="B4"/>
    </sheetView>
  </sheetViews>
  <sheetFormatPr defaultColWidth="8.70703125" defaultRowHeight="15" zeroHeight="false" outlineLevelRow="0" outlineLevelCol="0"/>
  <cols>
    <col collapsed="false" customWidth="true" hidden="false" outlineLevel="0" max="6" min="1" style="0" width="29.29"/>
  </cols>
  <sheetData>
    <row r="1" customFormat="false" ht="15" hidden="false" customHeight="false" outlineLevel="0" collapsed="false">
      <c r="A1" s="0" t="s">
        <v>39</v>
      </c>
      <c r="B1" s="0" t="s">
        <v>54</v>
      </c>
      <c r="C1" s="0" t="s">
        <v>55</v>
      </c>
      <c r="D1" s="0" t="s">
        <v>212</v>
      </c>
      <c r="E1" s="0" t="s">
        <v>213</v>
      </c>
      <c r="F1" s="0" t="s">
        <v>214</v>
      </c>
    </row>
    <row r="2" customFormat="false" ht="15" hidden="false" customHeight="false" outlineLevel="0" collapsed="false">
      <c r="A2" s="0" t="s">
        <v>44</v>
      </c>
      <c r="B2" s="0" t="s">
        <v>56</v>
      </c>
      <c r="C2" s="0" t="s">
        <v>56</v>
      </c>
      <c r="D2" s="0" t="s">
        <v>65</v>
      </c>
      <c r="E2" s="0" t="s">
        <v>65</v>
      </c>
      <c r="F2" s="0" t="s">
        <v>65</v>
      </c>
    </row>
    <row r="3" customFormat="false" ht="15" hidden="false" customHeight="false" outlineLevel="0" collapsed="false">
      <c r="A3" s="0" t="s">
        <v>48</v>
      </c>
    </row>
    <row r="4" customFormat="false" ht="15" hidden="false" customHeight="false" outlineLevel="0" collapsed="false">
      <c r="A4" s="0" t="s">
        <v>49</v>
      </c>
      <c r="B4" s="0" t="s">
        <v>215</v>
      </c>
      <c r="C4" s="0" t="s">
        <v>69</v>
      </c>
    </row>
    <row r="5" customFormat="false" ht="15" hidden="false" customHeight="false" outlineLevel="0" collapsed="false">
      <c r="A5" s="0" t="s">
        <v>50</v>
      </c>
    </row>
    <row r="6" customFormat="false" ht="15" hidden="false" customHeight="false" outlineLevel="0" collapsed="false">
      <c r="A6" s="0" t="s">
        <v>51</v>
      </c>
      <c r="D6" s="0" t="s">
        <v>76</v>
      </c>
      <c r="E6" s="0" t="s">
        <v>76</v>
      </c>
      <c r="F6" s="0" t="s">
        <v>216</v>
      </c>
    </row>
    <row r="7" customFormat="false" ht="15" hidden="false" customHeight="false" outlineLevel="0" collapsed="false">
      <c r="A7" s="0" t="s">
        <v>52</v>
      </c>
      <c r="B7" s="2" t="s">
        <v>53</v>
      </c>
      <c r="C7" s="2" t="s">
        <v>53</v>
      </c>
      <c r="D7" s="2" t="s">
        <v>165</v>
      </c>
      <c r="E7" s="2" t="s">
        <v>165</v>
      </c>
      <c r="F7" s="2" t="s">
        <v>165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8.70703125" defaultRowHeight="15" zeroHeight="false" outlineLevelRow="0" outlineLevelCol="0"/>
  <cols>
    <col collapsed="false" customWidth="true" hidden="false" outlineLevel="0" max="1" min="1" style="6" width="34.42"/>
    <col collapsed="false" customWidth="true" hidden="false" outlineLevel="0" max="2" min="2" style="6" width="44.31"/>
    <col collapsed="false" customWidth="true" hidden="false" outlineLevel="0" max="3" min="3" style="6" width="23.88"/>
    <col collapsed="false" customWidth="true" hidden="false" outlineLevel="0" max="4" min="4" style="6" width="27.12"/>
    <col collapsed="false" customWidth="true" hidden="false" outlineLevel="0" max="5" min="5" style="6" width="57.57"/>
    <col collapsed="false" customWidth="true" hidden="false" outlineLevel="0" max="10" min="6" style="6" width="18.29"/>
    <col collapsed="false" customWidth="true" hidden="false" outlineLevel="0" max="11" min="11" style="6" width="27"/>
    <col collapsed="false" customWidth="true" hidden="false" outlineLevel="0" max="12" min="12" style="6" width="33.29"/>
    <col collapsed="false" customWidth="true" hidden="false" outlineLevel="0" max="13" min="13" style="6" width="24.57"/>
    <col collapsed="false" customWidth="true" hidden="false" outlineLevel="0" max="14" min="14" style="6" width="21.29"/>
    <col collapsed="false" customWidth="true" hidden="false" outlineLevel="0" max="16" min="15" style="0" width="11.99"/>
  </cols>
  <sheetData>
    <row r="1" customFormat="false" ht="18.55" hidden="false" customHeight="false" outlineLevel="0" collapsed="false">
      <c r="A1" s="16" t="s">
        <v>215</v>
      </c>
      <c r="O1" s="6"/>
    </row>
    <row r="2" customFormat="false" ht="15" hidden="false" customHeight="false" outlineLevel="0" collapsed="false">
      <c r="A2" s="6" t="str">
        <f aca="false">CONCATENATE('Catalogue properties'!B1," [",'Catalogue properties'!B6,"]")</f>
        <v>Catalogue Item name []</v>
      </c>
      <c r="B2" s="6" t="str">
        <f aca="false">CONCATENATE('Catalogue properties'!C1," [",'Catalogue properties'!C6,"]")</f>
        <v>Catalogue item description []</v>
      </c>
      <c r="C2" s="6" t="str">
        <f aca="false">CONCATENATE('Catalogue properties'!D1," [",'Catalogue properties'!D6,"]")</f>
        <v>Manufacturer []</v>
      </c>
      <c r="D2" s="6" t="str">
        <f aca="false">CONCATENATE('Catalogue properties'!E1," [",'Catalogue properties'!E6,"]")</f>
        <v>Manufacturer part/catalog number []</v>
      </c>
      <c r="E2" s="6" t="str">
        <f aca="false">CONCATENATE('Catalogue properties'!F1," [",'Catalogue properties'!F6,"]")</f>
        <v>ManufacturerURL []</v>
      </c>
      <c r="F2" s="6" t="str">
        <f aca="false">CONCATENATE('Vacuum Pump'!D1," [",'Vacuum Pump'!D6,"]")</f>
        <v>Inlet flange type []</v>
      </c>
      <c r="G2" s="6" t="str">
        <f aca="false">CONCATENATE('Vacuum Pump'!E1," [",'Vacuum Pump'!E6,"]")</f>
        <v>Inlet flange size  []</v>
      </c>
      <c r="H2" s="6" t="str">
        <f aca="false">CONCATENATE('Vacuum Pump'!F1," [",'Vacuum Pump'!F6,"]")</f>
        <v>Outlet flange type []</v>
      </c>
      <c r="I2" s="6" t="str">
        <f aca="false">CONCATENATE('Vacuum Pump'!G1," [",'Vacuum Pump'!G6,"]")</f>
        <v>Outlet flange size []</v>
      </c>
      <c r="J2" s="6" t="str">
        <f aca="false">CONCATENATE('Vacuum Pump'!H1," [",'Vacuum Pump'!H6,"]")</f>
        <v>Coolling []</v>
      </c>
      <c r="K2" s="6" t="str">
        <f aca="false">CONCATENATE('Vacuum Pump'!I1," [",'Vacuum Pump'!I6,"]")</f>
        <v>Power consumption [W]</v>
      </c>
      <c r="L2" s="6" t="str">
        <f aca="false">CONCATENATE(Cryopumps!D1," [",Cryopumps!D6,"]")</f>
        <v>H2O pumping speed [L/sec]</v>
      </c>
      <c r="M2" s="6" t="str">
        <f aca="false">CONCATENATE(Cryopumps!E1," [",Cryopumps!E6,"]")</f>
        <v>H2 pumping speed [L/sec]</v>
      </c>
      <c r="N2" s="6" t="str">
        <f aca="false">CONCATENATE(Cryopumps!F1," [",Cryopumps!F6,"]")</f>
        <v>Cooldown time [min]</v>
      </c>
      <c r="O2" s="6" t="s">
        <v>78</v>
      </c>
    </row>
    <row r="3" customFormat="false" ht="26.25" hidden="false" customHeight="true" outlineLevel="0" collapsed="false">
      <c r="A3" s="6" t="s">
        <v>217</v>
      </c>
      <c r="B3" s="11" t="s">
        <v>218</v>
      </c>
      <c r="C3" s="14" t="s">
        <v>219</v>
      </c>
      <c r="D3" s="6" t="s">
        <v>220</v>
      </c>
      <c r="E3" s="13" t="s">
        <v>221</v>
      </c>
      <c r="F3" s="14" t="s">
        <v>12</v>
      </c>
      <c r="G3" s="14" t="s">
        <v>37</v>
      </c>
      <c r="H3" s="14" t="s">
        <v>16</v>
      </c>
      <c r="I3" s="14" t="s">
        <v>17</v>
      </c>
      <c r="J3" s="14" t="s">
        <v>11</v>
      </c>
      <c r="L3" s="6" t="n">
        <v>30000</v>
      </c>
      <c r="M3" s="6" t="n">
        <v>10000</v>
      </c>
      <c r="N3" s="6" t="n">
        <v>150</v>
      </c>
      <c r="O3" s="6" t="n">
        <v>16010130</v>
      </c>
      <c r="P3" s="6" t="n">
        <v>16010129</v>
      </c>
      <c r="Q3" s="6" t="n">
        <v>21100269</v>
      </c>
      <c r="R3" s="6" t="n">
        <v>21100107</v>
      </c>
    </row>
  </sheetData>
  <dataValidations count="4">
    <dataValidation allowBlank="true" errorStyle="stop" operator="between" showDropDown="false" showErrorMessage="true" showInputMessage="true" sqref="C3" type="list">
      <formula1>'Lists of values'!$A$2:$A$1000</formula1>
      <formula2>0</formula2>
    </dataValidation>
    <dataValidation allowBlank="true" errorStyle="stop" operator="between" showDropDown="false" showErrorMessage="true" showInputMessage="true" sqref="G3 I3" type="list">
      <formula1>'Lists of values'!$F$2:$F$20</formula1>
      <formula2>0</formula2>
    </dataValidation>
    <dataValidation allowBlank="true" errorStyle="stop" operator="between" showDropDown="false" showErrorMessage="true" showInputMessage="true" sqref="F3 H3" type="list">
      <formula1>'Lists of values'!$E$2:$E$20</formula1>
      <formula2>0</formula2>
    </dataValidation>
    <dataValidation allowBlank="true" errorStyle="stop" operator="between" showDropDown="false" showErrorMessage="true" showInputMessage="true" sqref="J3" type="list">
      <formula1>'Lists of values'!$C$2:$C$20</formula1>
      <formula2>0</formula2>
    </dataValidation>
  </dataValidations>
  <hyperlinks>
    <hyperlink ref="E3" r:id="rId1" display="https://www.leyboldproducts.com/products/high-vacuum-pumpscryo-technology/coolvac-coolpower-coolpak/coolvac-cryo-pumps/coolvac-cryo-pumps/3312/coolvac-1000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B14" activeCellId="0" sqref="B14"/>
    </sheetView>
  </sheetViews>
  <sheetFormatPr defaultColWidth="8.70703125" defaultRowHeight="15" zeroHeight="false" outlineLevelRow="0" outlineLevelCol="0"/>
  <cols>
    <col collapsed="false" customWidth="true" hidden="false" outlineLevel="0" max="1" min="1" style="0" width="41.15"/>
    <col collapsed="false" customWidth="true" hidden="false" outlineLevel="0" max="2" min="2" style="0" width="19.42"/>
    <col collapsed="false" customWidth="true" hidden="false" outlineLevel="0" max="4" min="4" style="0" width="72.25"/>
  </cols>
  <sheetData>
    <row r="1" customFormat="false" ht="27.75" hidden="false" customHeight="true" outlineLevel="0" collapsed="false">
      <c r="A1" s="0" t="s">
        <v>222</v>
      </c>
      <c r="B1" s="12" t="s">
        <v>22</v>
      </c>
      <c r="C1" s="0" t="s">
        <v>223</v>
      </c>
      <c r="D1" s="17" t="s">
        <v>224</v>
      </c>
      <c r="E1" s="0" t="n">
        <v>20020195</v>
      </c>
    </row>
    <row r="2" customFormat="false" ht="30" hidden="false" customHeight="false" outlineLevel="0" collapsed="false">
      <c r="A2" s="0" t="s">
        <v>225</v>
      </c>
      <c r="B2" s="12" t="s">
        <v>5</v>
      </c>
      <c r="C2" s="0" t="s">
        <v>226</v>
      </c>
      <c r="D2" s="17" t="s">
        <v>227</v>
      </c>
      <c r="E2" s="0" t="n">
        <v>15110867</v>
      </c>
      <c r="F2" s="0" t="n">
        <v>15110868</v>
      </c>
    </row>
    <row r="3" customFormat="false" ht="30" hidden="false" customHeight="false" outlineLevel="0" collapsed="false">
      <c r="A3" s="0" t="s">
        <v>228</v>
      </c>
      <c r="B3" s="12" t="s">
        <v>5</v>
      </c>
      <c r="C3" s="0" t="s">
        <v>229</v>
      </c>
      <c r="D3" s="17" t="s">
        <v>230</v>
      </c>
    </row>
  </sheetData>
  <dataValidations count="1">
    <dataValidation allowBlank="true" errorStyle="stop" operator="between" showDropDown="false" showErrorMessage="true" showInputMessage="true" sqref="B1:B3" type="list">
      <formula1>'Lists of values'!$A$2:$A$1000</formula1>
      <formula2>0</formula2>
    </dataValidation>
  </dataValidations>
  <hyperlinks>
    <hyperlink ref="D1" r:id="rId1" display="https://webportal.pfeiffer-vacuum.com/en/shop/product/PK_T05_100"/>
    <hyperlink ref="D2" r:id="rId2" display="https://www.pfeiffer-vacuum.com/en/products/vacuum-generation/diaphragm-pumps/for-rough-vacuum/2644/mvp-015-4-diaphragm-pump-230-v-50-hz"/>
    <hyperlink ref="D3" r:id="rId3" display="https://www.pfeiffer-vacuum.com/en/products/vacuum-generation/diaphragm-pumps/as-backing-pump-for-hipace-turbopumps/30880/mvp-030-3-dc-diaphragm-pump-24-v-dc"/>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1747</TotalTime>
  <Application>LibreOffice/7.2.5.2.0$Linux_X86_64 LibreOffice_project/20$Build-2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
  <dcterms:modified xsi:type="dcterms:W3CDTF">2022-07-27T15:52:22Z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