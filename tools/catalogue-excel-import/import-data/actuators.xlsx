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Lists of values" sheetId="1" state="visible" r:id="rId2"/>
    <sheet name="Catalogue properties" sheetId="2" state="visible" r:id="rId3"/>
    <sheet name="Motion" sheetId="3" state="visible" r:id="rId4"/>
    <sheet name="Actuators" sheetId="4" state="visible" r:id="rId5"/>
    <sheet name="Motorized Actuators" sheetId="5" state="visible" r:id="rId6"/>
    <sheet name="Catalogue items (1)" sheetId="6" state="visible" r:id="rId7"/>
    <sheet name="Mirror mounts with actuators" sheetId="7" state="visible" r:id="rId8"/>
  </sheets>
  <definedNames>
    <definedName function="false" hidden="false" name="ManufacturerList" vbProcedure="false">'Lists of values'!$A$2:$A$1000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<sst xmlns="http://schemas.openxmlformats.org/spreadsheetml/2006/main" count="369" uniqueCount="166">
  <si>
    <t xml:space="preserve">Manufacturer</t>
  </si>
  <si>
    <t xml:space="preserve">Cooling</t>
  </si>
  <si>
    <t xml:space="preserve">flange type</t>
  </si>
  <si>
    <t xml:space="preserve">flange size</t>
  </si>
  <si>
    <t xml:space="preserve">Bearing</t>
  </si>
  <si>
    <t xml:space="preserve">torr</t>
  </si>
  <si>
    <t xml:space="preserve">hPa</t>
  </si>
  <si>
    <t xml:space="preserve">Thorlabs</t>
  </si>
  <si>
    <t xml:space="preserve">YesNo</t>
  </si>
  <si>
    <t xml:space="preserve">Motor type</t>
  </si>
  <si>
    <t xml:space="preserve">Newport</t>
  </si>
  <si>
    <t xml:space="preserve">Yes</t>
  </si>
  <si>
    <t xml:space="preserve">Stepper motor</t>
  </si>
  <si>
    <t xml:space="preserve">PI (Physik Instrumente) L.P. </t>
  </si>
  <si>
    <t xml:space="preserve">No</t>
  </si>
  <si>
    <t xml:space="preserve">Piezo motor</t>
  </si>
  <si>
    <t xml:space="preserve">SmarAct GmbH</t>
  </si>
  <si>
    <t xml:space="preserve">Standa Ltd.</t>
  </si>
  <si>
    <t xml:space="preserve">Newport (MIT, spol. s r. o.)</t>
  </si>
  <si>
    <t xml:space="preserve">Property name</t>
  </si>
  <si>
    <t xml:space="preserve">Catalogue Item name</t>
  </si>
  <si>
    <t xml:space="preserve">Catalogue item description</t>
  </si>
  <si>
    <t xml:space="preserve">Manufacturer part/catalog number</t>
  </si>
  <si>
    <t xml:space="preserve">ManufacturerURL</t>
  </si>
  <si>
    <t xml:space="preserve">Property type</t>
  </si>
  <si>
    <t xml:space="preserve">Text</t>
  </si>
  <si>
    <t xml:space="preserve">TextArea</t>
  </si>
  <si>
    <t xml:space="preserve">External List</t>
  </si>
  <si>
    <t xml:space="preserve">List of values (; separated)</t>
  </si>
  <si>
    <t xml:space="preserve">Default value</t>
  </si>
  <si>
    <t xml:space="preserve">Allow custom value</t>
  </si>
  <si>
    <t xml:space="preserve">Unit type</t>
  </si>
  <si>
    <t xml:space="preserve">Category group</t>
  </si>
  <si>
    <t xml:space="preserve">General properties</t>
  </si>
  <si>
    <t xml:space="preserve">Category</t>
  </si>
  <si>
    <t xml:space="preserve">Parent category</t>
  </si>
  <si>
    <t xml:space="preserve">text</t>
  </si>
  <si>
    <t xml:space="preserve">Motion</t>
  </si>
  <si>
    <t xml:space="preserve">Travel range</t>
  </si>
  <si>
    <t xml:space="preserve">Vacuum compatibility</t>
  </si>
  <si>
    <t xml:space="preserve">For vacuum pressure</t>
  </si>
  <si>
    <t xml:space="preserve">Number</t>
  </si>
  <si>
    <t xml:space="preserve">List</t>
  </si>
  <si>
    <t xml:space="preserve">No; Yes</t>
  </si>
  <si>
    <t xml:space="preserve">Actuators</t>
  </si>
  <si>
    <t xml:space="preserve">mm</t>
  </si>
  <si>
    <t xml:space="preserve">General Properties</t>
  </si>
  <si>
    <t xml:space="preserve">Axial load capacity</t>
  </si>
  <si>
    <t xml:space="preserve">Integrated encoder</t>
  </si>
  <si>
    <t xml:space="preserve">Encoder resolution</t>
  </si>
  <si>
    <t xml:space="preserve">Minimum incremental motion</t>
  </si>
  <si>
    <t xml:space="preserve">Stepper motor; Piezo motor</t>
  </si>
  <si>
    <t xml:space="preserve">No;Yes</t>
  </si>
  <si>
    <t xml:space="preserve">Motorized actuators</t>
  </si>
  <si>
    <t xml:space="preserve">N</t>
  </si>
  <si>
    <t xml:space="preserve">nm</t>
  </si>
  <si>
    <t xml:space="preserve">Actuator properties</t>
  </si>
  <si>
    <t xml:space="preserve">EUN</t>
  </si>
  <si>
    <t xml:space="preserve">Z825BV - Vacuum-Compatible 25 mm Motorized Actuator with Ø3/8" Barrel Fitting</t>
  </si>
  <si>
    <t xml:space="preserve">Vacuum-Compatible DC Motor Actuator, 25 mm Travel
6 VDC Servo Actuator
Sub-micron Resolution
2.3 mm/s Maximum Velocity
Drop In Replacement for Most 12 mm Manual Actuators
Compatible with Ø3/8" (Ø9.525 mm) Barrel-Fitting Stages and Mounts
Limit Switches for Zero Datum and Actuator Protection
Rated Down To 10-6 Torr.</t>
  </si>
  <si>
    <t xml:space="preserve">Z825BV</t>
  </si>
  <si>
    <t xml:space="preserve">https://www.thorlabs.com/thorproduct.cfm?partnumber=Z825BV</t>
  </si>
  <si>
    <t xml:space="preserve">N/A</t>
  </si>
  <si>
    <t xml:space="preserve">Z825B - 25 mm Motorized Actuator with Ø3/8" Barrel (0.5 m Cable)</t>
  </si>
  <si>
    <t xml:space="preserve">    6 VDC Servo Actuator
    Sub-micron Resolution
    Maximum Velocity: 2.3 mm/s
    Drop In Replacement for Most 25 mm Manual Actuators
    Compatible with Stages and Mounts that Accept Ø3/8" (Ø9.525 mm) Barrels
    Limit Switches for Zero Datum and Actuator Protection
    Also Available in 6 mm and 12 mm Travel Versions</t>
  </si>
  <si>
    <t xml:space="preserve">Z825B</t>
  </si>
  <si>
    <t xml:space="preserve">https://www.thorlabs.com/thorproduct.cfm?partnumber=Z825B</t>
  </si>
  <si>
    <t xml:space="preserve">Z812V - Vacuum-Compatible 12 mm Motorized Actuator, 1/4"-80 Thread</t>
  </si>
  <si>
    <t xml:space="preserve">    6 VDC Servo Actuator
    Submicron Resolution
    Maximum Velocity: 2.3 mm/s
    Drop In Replacement for Most 12 mm Manual Actuators
    Compatible with 1/4"-80 Thread (Z812V) and Ø3/8" (9.525 mm) Barrel-Fitted (Z812BV) Stages and Mounts
    Limit Switches for Zero Datum and Actuator Protection
    Rated Down To 10-6 Torr.
    Also Available in 6 mm and 25 mm Travel Versions</t>
  </si>
  <si>
    <t xml:space="preserve">Z812V</t>
  </si>
  <si>
    <t xml:space="preserve">https://www.thorlabs.com/thorproduct.cfm?partnumber=Z812V</t>
  </si>
  <si>
    <t xml:space="preserve">PAS005 - Piezoelectric Actuator, 20 µm Travel </t>
  </si>
  <si>
    <t xml:space="preserve">    Modular Piezoelectric Actuators for Fine Positioning
    Available as Open or Closed-Loop with Feedback
    Ø1/2" Barrel for Compatibility with LNR50 Series TravelMax Stages</t>
  </si>
  <si>
    <t xml:space="preserve">PAS005</t>
  </si>
  <si>
    <t xml:space="preserve">https://www.thorlabs.com/thorproduct.cfm?partnumber=PAS005</t>
  </si>
  <si>
    <t xml:space="preserve">PIAK10 - Piezo Inertia Actuator, 10 mm Travel, 1/4"-80 Mounting Thread</t>
  </si>
  <si>
    <t xml:space="preserve">    Actuators Provide High-Resolution Linear Motion in a Compact Package
    PIAK10: 1/4"-80 Mounting Thread for Compatibility with Mirror Mounts
    PIA13, PIA25, &amp; PIA50: Ø3/8" (Ø9.525 mm) Barrel for Mounting to Manual Stages with Ø3/8" (Ø9.525 mm) Mounting Clamps
    KIM001 or KIM101 Controller Required for Operation (Sold Separately Below)</t>
  </si>
  <si>
    <t xml:space="preserve">PIAK10</t>
  </si>
  <si>
    <t xml:space="preserve">https://www.thorlabs.com/thorproduct.cfm?partnumber=PIAK10</t>
  </si>
  <si>
    <t xml:space="preserve">PIAK10VF - Vacuum-Compatible Piezo Inertia Actuator, 10 mm Travel, 1/4"-100 Mounting Thread </t>
  </si>
  <si>
    <t xml:space="preserve">    Compact Design: 31.5 mm x 17.0 mm (W x H)
    20 nm Typical Step Size
    Manual Adjustment via Knob on Adjuster Screw
    Rated Down to 10-6 Torr
    125 V Maximum Operating Voltage
    1/4"-100 Mounting Thread for Compatibility with KS1TV Ø1" Mirror Mount
    Ideal for Set-and-Hold Applications that Require High-Resolution Relative Positioning
    Vacuum-Compatible PIA13VF Actuator for Translation Stages Also Available</t>
  </si>
  <si>
    <t xml:space="preserve">PIAK10VF</t>
  </si>
  <si>
    <t xml:space="preserve">https://www.thorlabs.com/thorproduct.cfm?partnumber=PIAK10VF</t>
  </si>
  <si>
    <t xml:space="preserve">Picomotor Piezo Linear Actuator</t>
  </si>
  <si>
    <t xml:space="preserve"> Picomotor actuators are ideal for motorizing fine-positioning stages and mounts for applications that require exceptional precision, small step sizes, and set-and-forget stability, all in a compact package.
    30 nm positioning resolution
    Substantial 22 N axial load capacity
    Set-and-forget long-term stability
    Easy-to-use, flexible controller/drivers
    Manual adjustment knob
    Simple integration</t>
  </si>
  <si>
    <t xml:space="preserve">https://www.newport.com/f/picomotor-piezo-linear-actuators</t>
  </si>
  <si>
    <t xml:space="preserve">Picomotor Actuator, Vacuum Compatible</t>
  </si>
  <si>
    <t xml:space="preserve">he 8302-V Vacuum Compatible Picomotor™ Actuator has 1.0 inch (25.4 mm) travel, and is an ideal device for motorizing fine-positioning stages and mounts in your optical or mechanical systems. Use it with our opto-mechanical translation stages or your own custom devices. It has better than 30-nm resolution with minimal backlash, and can exert a 5-lb (22-N) force. Moreover, it offers exceptional long-term stability and the ability to hold their position with no power applied. These last two features make the Picomotor unique among motion-control devices and ideal for typical set-and-hold applications. Such applications include precision control of sample holders inside cold and/or vacuum chambers, hands-off adjustment of hard-to-reach mirror mounts (like those in the center of a large setup), or adjustments of optical mounts that are sensitive to forces applied while twisting a knob (for instance optimizing the alignment of a laser cavity or adjusting the pointing of a beam over a long distance).</t>
  </si>
  <si>
    <t xml:space="preserve">8302-V</t>
  </si>
  <si>
    <t xml:space="preserve">https://www.newport.com/p/8302-V</t>
  </si>
  <si>
    <t xml:space="preserve">Motorized Linear Actuator, 11 mm Travel, Micro Step Drive</t>
  </si>
  <si>
    <t xml:space="preserve">The NSA12 Miniature Motorized Linear Actuator with 11 mm travel is an economical solution for motorizing mirror mounts, rotation stages, linear stages and other manual motion devices. They are ideal for remote adjustment of sensitive, hard-to-reach optical components which can be influenced by the compressive and torsional forces imposed by traditional manual adjustment micrometers. Typical applications include optimizing the alignment of a laser cavity, zeroing in on coherence lengths or just adjusting the pointing of a beam over a long distance. Individual actuator only, controller not included.</t>
  </si>
  <si>
    <t xml:space="preserve">NSA12</t>
  </si>
  <si>
    <t xml:space="preserve">https://www.newport.com/p/NSA12</t>
  </si>
  <si>
    <t xml:space="preserve">14080500-536</t>
  </si>
  <si>
    <t xml:space="preserve">18061570-76</t>
  </si>
  <si>
    <t xml:space="preserve">Motorized Linear Actuator, 11 mm Travel, Vacuum Compatible</t>
  </si>
  <si>
    <t xml:space="preserve">The NSA12V6 miniature motorized linear actuator with 11 mm travel is a Vacuum compatible to 10-6 hPa solution for motorizing mirror mounts, rotation stages, linear stages and other manual motion devices. They are ideal for remote adjustment of sensitive, hard-to-reach optical components which can be influenced by the compressive and torsional forces imposed by traditional manual adjustment micrometers. Typical applications include optimizing the alignment of a laser cavity, zeroing in on coherence lengths or just adjusting the pointing of a beam over a long distance.</t>
  </si>
  <si>
    <t xml:space="preserve">NSA12V6</t>
  </si>
  <si>
    <t xml:space="preserve">https://www.newport.com/p/NSA12V6</t>
  </si>
  <si>
    <t xml:space="preserve">15030110-23</t>
  </si>
  <si>
    <t xml:space="preserve">16080016-27</t>
  </si>
  <si>
    <t xml:space="preserve">16080037-44</t>
  </si>
  <si>
    <t xml:space="preserve">Motorized Actuator, Miniature, 12 mm Travel, Stepper, 25-pin D-Sub</t>
  </si>
  <si>
    <t xml:space="preserve">The TRA12PPD Miniature Stepper Motor Actuator provides 12 mm travel in a slim, 15 mm diameter housing and is the recommended choice for motorizing 561 series linear stages, and 481 and RS65 rotation stages. TRA actuators incorporate an excellent space saving design that allows them to be used with a wide variety of linear stages, mirror mounts, and OEM applications. 25-pin D-Sub connector.</t>
  </si>
  <si>
    <t xml:space="preserve">TRA12PPD</t>
  </si>
  <si>
    <t xml:space="preserve">https://www.newport.com/p/TRA12PPD</t>
  </si>
  <si>
    <t xml:space="preserve">Motorized Actuator, Compact, 6 mm Travel, Stepper Motor</t>
  </si>
  <si>
    <t xml:space="preserve">The TRB6PP Compact Stepper Actuator provides 6 mm travel with sub-micron MIM, very good repeatability and high push force. TRB actuators can replace micrometers which are used a wide variety of linear stages, mirror mounts, and OEM applications.</t>
  </si>
  <si>
    <t xml:space="preserve">TRB6PP</t>
  </si>
  <si>
    <t xml:space="preserve">https://www.newport.com/p/TRB6PP</t>
  </si>
  <si>
    <t xml:space="preserve">Motorized Actuator, High Speed, 50 mm Travel, Vacuum Compatible</t>
  </si>
  <si>
    <t xml:space="preserve">The Vacuum Compatible LTAHSPPV6 High Speed Motorized Actuator is optimized for high-speed applications and provides a 50 mm travel range. LTA actuators are designed to fit into other vacuum compatible manual stages and opto-mechanical components as direct replacements for manual micrometers Featuring a space-saving design with the motor and lead screw mounted side-by-side, the LTAHSPPV6 is ideal for space constrained setups, common to vacuum applications. This design not only reduces the actuator length by 50%, but also minimizes the unwanted effects of long cantilever loads on micro-positioning equipment. Precision motion is accomplished through a miniature stepper motor with optimized output torque. This allows for faster motion and high load capacity. </t>
  </si>
  <si>
    <t xml:space="preserve">LTAHSPPV6</t>
  </si>
  <si>
    <t xml:space="preserve">https://www.newport.com/p/LTAHSPPV6</t>
  </si>
  <si>
    <t xml:space="preserve">18101187-90</t>
  </si>
  <si>
    <t xml:space="preserve">VHRU-10V6</t>
  </si>
  <si>
    <t xml:space="preserve">Custom Vacuum Actuator</t>
  </si>
  <si>
    <t xml:space="preserve">https://www.newport.com/s/advanced-motion-control-products</t>
  </si>
  <si>
    <t xml:space="preserve">16110036-47</t>
  </si>
  <si>
    <t xml:space="preserve">Motorized Actuator, Miniature, 6 mm Travel, Vacuum Compatible</t>
  </si>
  <si>
    <t xml:space="preserve">The TRA6PPV6 Miniature Stepper Motor Actuator provides 6 mm travel in a slim, 15 mm diameter housing and is the recommended choice for motorizing 561 series linear stages, and 481 and RS65 rotation stages. TRA actuators incorporate an excellent space saving design that allows them to be used with a wide variety of linear stages, mirror mounts, and OEM applications. Vacuum compatible to 10-6 hPa.</t>
  </si>
  <si>
    <t xml:space="preserve">TRA6PPV6</t>
  </si>
  <si>
    <t xml:space="preserve">https://www.newport.com/p/TRA6PPV6</t>
  </si>
  <si>
    <t xml:space="preserve">Motorized Actuator, High Load, 25 mm Travel, Vacuum Compatible</t>
  </si>
  <si>
    <t xml:space="preserve">The Vacuum compatible High load LTAHLPPV6 actuator with 25 mm travel. Recommended for heavy load applications, the LTAHLPPV6 features a robust, 8 mm diameter rod and a M12-0.5 mounting bezel that is compatible with vacuum versions of the UMR8 and MVN80 linear stages. LTA actuators are designed to fit into existing manual stages and other opto-mechanical components as direct replacement for manual micrometers. Featuring a space-saving design ideal for limited space in vacuum chambers, the LTA motor and lead screw are mounted side-by-side. This not only reduces the actuator length by 50%, but also minimizes the unwanted effects of long cantilever loads on micro-positioning equipment.  Precision motion is accomplished through a miniature stepper motor with optimized output torque. This allows for faster motion and high load capacity. A movable limit switch prevents over-travel. The switch positions can be changed in minutes to adjust the maximum travel position.</t>
  </si>
  <si>
    <t xml:space="preserve">LTAHLPPV6</t>
  </si>
  <si>
    <t xml:space="preserve">https://www.newport.com/p/LTAHLPPV6</t>
  </si>
  <si>
    <t xml:space="preserve">19030258-63</t>
  </si>
  <si>
    <t xml:space="preserve">19040315-19</t>
  </si>
  <si>
    <t xml:space="preserve">21040156-61</t>
  </si>
  <si>
    <t xml:space="preserve">21090427-32</t>
  </si>
  <si>
    <t xml:space="preserve">Picomotor Actuator, Vacuum Compatible, 0.5 in. Travel, 0.375 in. Shank</t>
  </si>
  <si>
    <t xml:space="preserve">The 8301-V Vacuum Compatible Picomotor™ Actuator has 0.5 inch (12.7 mm) travel, and is an ideal device for motorizing fine-positioning stages and mounts in your optical or mechanical systems. Use it with our opto-mechanical translation stages or your own custom devices. It has better than 30-nm resolution with minimal backlash, and can exert a 5-lb (22-N) force. Moreover, it offers exceptional long-term stability and the ability to hold their position with no power applied. These last two features make the Picomotor unique among motion-control devices and ideal for typical set-and-hold applications. Such applications include precision control of sample holders inside cold and/or vacuum chambers, hands-off adjustment of hard-to-reach mirror mounts (like those in the center of a large setup), or adjustments of optical mounts that are sensitive to forces applied while twisting a knob (for instance optimizing the alignment of a laser cavity or adjusting the pointing of a beam over a long distance).</t>
  </si>
  <si>
    <t xml:space="preserve">8301-V</t>
  </si>
  <si>
    <t xml:space="preserve">https://www.newport.com/p/8301-V</t>
  </si>
  <si>
    <t xml:space="preserve">19090249-59</t>
  </si>
  <si>
    <t xml:space="preserve">Micro Pusher MP-20</t>
  </si>
  <si>
    <t xml:space="preserve">Travel range up to 75 mm
 High Resolution up to 0.02216 µm
 Recirculating ball screw
 *Maximum speed 3.5 mm/sec
 Force max. 12.5 kg
 Limit switches integrated
 Module combination
 Including both Inserts MP-B &amp; MP-F</t>
  </si>
  <si>
    <t xml:space="preserve">MP-20</t>
  </si>
  <si>
    <t xml:space="preserve">http://www.micosusa.com/old/MP_20L.html</t>
  </si>
  <si>
    <t xml:space="preserve">16010314-29</t>
  </si>
  <si>
    <t xml:space="preserve">SLC-24150 - Linear Piezo Stage</t>
  </si>
  <si>
    <t xml:space="preserve">With 103 mm, the SLC-24150 features the second longest travel range within the SLC-24 series. It measures 150 x 24 x 10.5 mm and offers a normal force of 30 N.</t>
  </si>
  <si>
    <t xml:space="preserve">SLC-24150</t>
  </si>
  <si>
    <t xml:space="preserve">https://www.smaract.com/linear-stages/product/slc-24150</t>
  </si>
  <si>
    <t xml:space="preserve">8MS00V - Vacuum Compatible Motorized Screw</t>
  </si>
  <si>
    <t xml:space="preserve">High vacuum compatible Sub-D, male or female, 9 or 15 pin connectors can be ordered separately. The connectors are made of glass filled polymer with a stainless steel outer and suitable for High Vacuum (10-6 Torr) and temperatures up to 110°C.</t>
  </si>
  <si>
    <t xml:space="preserve">8MS00V-10-VSS43</t>
  </si>
  <si>
    <t xml:space="preserve">https://www.standa.lt/products/catalog/vacuum_compatible_stages?item=504&amp;prod=vacuum-compatible-motorized-screw</t>
  </si>
  <si>
    <t xml:space="preserve">POLARIS-K1S3P - Polaris® Piezoelectric Ø1" Mirror Mount, 3 Adjusters with Lock Nuts, Cables Included</t>
  </si>
  <si>
    <t xml:space="preserve">Machined from Heat-Treated Stainless Steel with Low Coefficient of Thermal Expansion (CTE)
Fully Integrated Piezoelectric Elements Provide Step Sizes Down to 0.5 µrad
Matched Actuator and Back Plate Provide Smooth Manual Kinematic Adjustment
Hardened Stainless Steel Ball Contacts with Sapphire Seats for Durability and Smooth Movement
Passivated Stainless Steel Surface Ideal for Vacuum and High-Power Laser Cavity Applications
Extensive Testing Guarantees Less than 6 μrad Deviation After 15 °C Temperature Cycling</t>
  </si>
  <si>
    <t xml:space="preserve">POLARIS-K1S3P</t>
  </si>
  <si>
    <t xml:space="preserve">https://www.thorlabs.com/thorproduct.cfm?partnumber=POLARIS-K1S3P</t>
  </si>
  <si>
    <t xml:space="preserve">POLARIS-K2S2P - Polaris® Piezoelectric Ø2" Mirror Mount, 2 Adjusters with Lock Nuts, Cables Included</t>
  </si>
  <si>
    <t xml:space="preserve">    2-Adjuster Piezoelectric and Knob-Driven Design
    Designed for Use with Ø2" Optics
    100 TPI Screws with Integrated Piezoelectric Elements
    Less Than 2 µrad Beam Deviation After Temperature Cycling (See the Test Data Tab)
    Two SMB-to-BNC Cables Included</t>
  </si>
  <si>
    <t xml:space="preserve">POLARIS-K2S2P</t>
  </si>
  <si>
    <t xml:space="preserve">https://www.thorlabs.com/thorproduct.cfm?partnumber=POLARIS-K2S2P</t>
  </si>
  <si>
    <t xml:space="preserve">POLARIS-K2F2 - Polaris® Low Distortion Ø2" Mirror Mount, 2 Hex Adjusters</t>
  </si>
  <si>
    <t xml:space="preserve">    2-Adjuster Low-Distortion Mount Designed for Ø2" Opticsa
    Removable Knob- or Hex-Driven Design
    100 TPI Matched Actuator / Body Pairs
    All-Stainless-Steel, Matched CTE Construction
    Less Than 2 µrad Deviation after Temperature Cycling (See the Test Data Tab)
    Adjusters can be Locked Using POLARIS-LN1 Lock Nuts</t>
  </si>
  <si>
    <t xml:space="preserve">POLARIS-K2F2</t>
  </si>
  <si>
    <t xml:space="preserve">https://www.thorlabs.com/thorproduct.cfm?partnumber=POLARIS-K2F2</t>
  </si>
  <si>
    <t xml:space="preserve">POLARIS-K50F4/M - Polaris® Low Distortion Ø50 mm Mirror Mount, 2 Hex Adjusters with Side Holes</t>
  </si>
  <si>
    <t xml:space="preserve">    2-Adjuster Low-Distortion Mount Designed for Ø50 mm Opticsa
    Hex-Driven Design
    100 TPI Matched Actuator / Body Pairs
    All-Stainless-Steel, Matched CTE Construction</t>
  </si>
  <si>
    <t xml:space="preserve">POLARIS-K50F4/M</t>
  </si>
  <si>
    <t xml:space="preserve">https://www.thorlabs.com/thorproduct.cfm?partnumber=POLARIS-K50F4/M</t>
  </si>
</sst>
</file>

<file path=xl/styles.xml><?xml version="1.0" encoding="utf-8"?>
<styleSheet xmlns="http://schemas.openxmlformats.org/spreadsheetml/2006/main">
  <numFmts count="1">
    <numFmt numFmtId="164" formatCode="General"/>
  </numFmts>
  <fonts count="9">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
      <sz val="11"/>
      <color rgb="FF111827"/>
      <name val="Arial"/>
      <family val="2"/>
      <charset val="1"/>
    </font>
    <font>
      <sz val="11"/>
      <color rgb="FF111827"/>
      <name val="Arial"/>
      <family val="0"/>
      <charset val="1"/>
    </font>
    <font>
      <b val="true"/>
      <sz val="15"/>
      <color rgb="FF000000"/>
      <name val="Calibri"/>
      <family val="0"/>
      <charset val="1"/>
    </font>
    <font>
      <u val="single"/>
      <sz val="11"/>
      <color rgb="FF0563C1"/>
      <name val="Calibri"/>
      <family val="0"/>
      <charset val="1"/>
    </font>
  </fonts>
  <fills count="4">
    <fill>
      <patternFill patternType="none"/>
    </fill>
    <fill>
      <patternFill patternType="gray125"/>
    </fill>
    <fill>
      <patternFill patternType="solid">
        <fgColor rgb="FFFFFFFF"/>
        <bgColor rgb="FFFFF2CC"/>
      </patternFill>
    </fill>
    <fill>
      <patternFill patternType="solid">
        <fgColor rgb="FFE7E6E6"/>
        <bgColor rgb="FFFFF2CC"/>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true">
      <alignment horizontal="general" vertical="bottom" textRotation="0" wrapText="false" indent="0" shrinkToFit="false"/>
      <protection locked="true" hidden="false"/>
    </xf>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8" fillId="0" borderId="0" xfId="2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7E6E6"/>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11827"/>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_rels/sheet6.xml.rels><?xml version="1.0" encoding="UTF-8"?>
<Relationships xmlns="http://schemas.openxmlformats.org/package/2006/relationships"><Relationship Id="rId1" Type="http://schemas.openxmlformats.org/officeDocument/2006/relationships/hyperlink" Target="https://www.thorlabs.com/thorproduct.cfm?partnumber=Z825BV" TargetMode="External"/><Relationship Id="rId2" Type="http://schemas.openxmlformats.org/officeDocument/2006/relationships/hyperlink" Target="https://www.thorlabs.com/thorproduct.cfm?partnumber=Z825B" TargetMode="External"/><Relationship Id="rId3" Type="http://schemas.openxmlformats.org/officeDocument/2006/relationships/hyperlink" Target="https://www.thorlabs.com/thorproduct.cfm?partnumber=Z812V" TargetMode="External"/><Relationship Id="rId4" Type="http://schemas.openxmlformats.org/officeDocument/2006/relationships/hyperlink" Target="https://www.newport.com/f/picomotor-piezo-linear-actuators" TargetMode="External"/><Relationship Id="rId5" Type="http://schemas.openxmlformats.org/officeDocument/2006/relationships/hyperlink" Target="https://www.newport.com/p/8302-V" TargetMode="External"/><Relationship Id="rId6" Type="http://schemas.openxmlformats.org/officeDocument/2006/relationships/hyperlink" Target="https://www.newport.com/p/NSA12" TargetMode="External"/><Relationship Id="rId7" Type="http://schemas.openxmlformats.org/officeDocument/2006/relationships/hyperlink" Target="https://www.newport.com/p/NSA12V6" TargetMode="External"/><Relationship Id="rId8" Type="http://schemas.openxmlformats.org/officeDocument/2006/relationships/hyperlink" Target="https://www.newport.com/p/TRA12PPD" TargetMode="External"/><Relationship Id="rId9" Type="http://schemas.openxmlformats.org/officeDocument/2006/relationships/hyperlink" Target="https://www.newport.com/p/TRB6PP" TargetMode="External"/><Relationship Id="rId10" Type="http://schemas.openxmlformats.org/officeDocument/2006/relationships/hyperlink" Target="https://www.newport.com/p/LTAHSPPV6" TargetMode="External"/><Relationship Id="rId11" Type="http://schemas.openxmlformats.org/officeDocument/2006/relationships/hyperlink" Target="https://www.newport.com/s/advanced-motion-control-products" TargetMode="External"/><Relationship Id="rId12" Type="http://schemas.openxmlformats.org/officeDocument/2006/relationships/hyperlink" Target="https://www.newport.com/p/TRA6PPV6" TargetMode="External"/><Relationship Id="rId13" Type="http://schemas.openxmlformats.org/officeDocument/2006/relationships/hyperlink" Target="https://www.newport.com/p/LTAHLPPV6" TargetMode="External"/><Relationship Id="rId14" Type="http://schemas.openxmlformats.org/officeDocument/2006/relationships/hyperlink" Target="https://www.newport.com/p/8301-V" TargetMode="External"/><Relationship Id="rId15" Type="http://schemas.openxmlformats.org/officeDocument/2006/relationships/hyperlink" Target="http://www.micosusa.com/old/MP_20L.html" TargetMode="External"/><Relationship Id="rId16" Type="http://schemas.openxmlformats.org/officeDocument/2006/relationships/hyperlink" Target="https://www.smaract.com/linear-stages/product/slc-24150" TargetMode="External"/><Relationship Id="rId17" Type="http://schemas.openxmlformats.org/officeDocument/2006/relationships/hyperlink" Target="https://www.standa.lt/products/catalog/vacuum_compatible_stages?item=504&amp;prod=vacuum-compatible-motorized-screw"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thorlabs.com/thorproduct.cfm?partnumber=POLARIS-K1S3P" TargetMode="External"/><Relationship Id="rId2" Type="http://schemas.openxmlformats.org/officeDocument/2006/relationships/hyperlink" Target="https://www.thorlabs.com/thorproduct.cfm?partnumber=POLARIS-K2F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3" activeCellId="1" sqref="A1 B13"/>
    </sheetView>
  </sheetViews>
  <sheetFormatPr defaultColWidth="8.70703125" defaultRowHeight="15" zeroHeight="false" outlineLevelRow="0" outlineLevelCol="0"/>
  <cols>
    <col collapsed="false" customWidth="true" hidden="false" outlineLevel="0" max="1" min="1" style="0" width="31.86"/>
    <col collapsed="false" customWidth="true" hidden="false" outlineLevel="0" max="4" min="4" style="0" width="19.42"/>
    <col collapsed="false" customWidth="true" hidden="false" outlineLevel="0" max="5" min="5" style="0" width="12.71"/>
    <col collapsed="false" customWidth="true" hidden="false" outlineLevel="0" max="6" min="6" style="0" width="11.86"/>
    <col collapsed="false" customWidth="true" hidden="false" outlineLevel="0" max="14" min="14" style="0" width="12.14"/>
  </cols>
  <sheetData>
    <row r="1" customFormat="false" ht="15" hidden="false" customHeight="false" outlineLevel="0" collapsed="false">
      <c r="A1" s="1" t="s">
        <v>0</v>
      </c>
      <c r="C1" s="1" t="s">
        <v>1</v>
      </c>
      <c r="E1" s="1" t="s">
        <v>2</v>
      </c>
      <c r="F1" s="1" t="s">
        <v>3</v>
      </c>
      <c r="H1" s="1" t="s">
        <v>4</v>
      </c>
      <c r="K1" s="0" t="s">
        <v>5</v>
      </c>
      <c r="L1" s="0" t="n">
        <f aca="false">10^-6</f>
        <v>1E-006</v>
      </c>
      <c r="M1" s="0" t="s">
        <v>6</v>
      </c>
      <c r="N1" s="0" t="n">
        <f aca="false">L1*1.33322368</f>
        <v>1.33322368E-006</v>
      </c>
    </row>
    <row r="2" customFormat="false" ht="15" hidden="false" customHeight="false" outlineLevel="0" collapsed="false">
      <c r="A2" s="0" t="s">
        <v>7</v>
      </c>
      <c r="D2" s="2" t="s">
        <v>8</v>
      </c>
      <c r="E2" s="2" t="s">
        <v>9</v>
      </c>
    </row>
    <row r="3" customFormat="false" ht="15" hidden="false" customHeight="false" outlineLevel="0" collapsed="false">
      <c r="A3" s="0" t="s">
        <v>10</v>
      </c>
      <c r="D3" s="2" t="s">
        <v>11</v>
      </c>
      <c r="E3" s="2" t="s">
        <v>12</v>
      </c>
    </row>
    <row r="4" customFormat="false" ht="15" hidden="false" customHeight="false" outlineLevel="0" collapsed="false">
      <c r="A4" s="0" t="s">
        <v>13</v>
      </c>
      <c r="D4" s="2" t="s">
        <v>14</v>
      </c>
      <c r="E4" s="2" t="s">
        <v>15</v>
      </c>
    </row>
    <row r="5" customFormat="false" ht="15" hidden="false" customHeight="false" outlineLevel="0" collapsed="false">
      <c r="A5" s="0" t="s">
        <v>16</v>
      </c>
    </row>
    <row r="6" customFormat="false" ht="15" hidden="false" customHeight="false" outlineLevel="0" collapsed="false">
      <c r="A6" s="0" t="s">
        <v>17</v>
      </c>
    </row>
    <row r="7" customFormat="false" ht="15" hidden="false" customHeight="false" outlineLevel="0" collapsed="false">
      <c r="A7" s="2" t="s">
        <v>18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4" activeCellId="1" sqref="A1 E14"/>
    </sheetView>
  </sheetViews>
  <sheetFormatPr defaultColWidth="8.70703125" defaultRowHeight="15" zeroHeight="false" outlineLevelRow="0" outlineLevelCol="0"/>
  <cols>
    <col collapsed="false" customWidth="true" hidden="false" outlineLevel="0" max="1" min="1" style="0" width="24.87"/>
    <col collapsed="false" customWidth="true" hidden="false" outlineLevel="0" max="2" min="2" style="0" width="23.71"/>
    <col collapsed="false" customWidth="true" hidden="false" outlineLevel="0" max="3" min="3" style="0" width="27.99"/>
    <col collapsed="false" customWidth="true" hidden="false" outlineLevel="0" max="4" min="4" style="0" width="18.71"/>
    <col collapsed="false" customWidth="true" hidden="false" outlineLevel="0" max="6" min="5" style="0" width="26.13"/>
  </cols>
  <sheetData>
    <row r="1" customFormat="false" ht="15" hidden="false" customHeight="false" outlineLevel="0" collapsed="false">
      <c r="A1" s="0" t="s">
        <v>19</v>
      </c>
      <c r="B1" s="0" t="s">
        <v>20</v>
      </c>
      <c r="C1" s="0" t="s">
        <v>21</v>
      </c>
      <c r="D1" s="0" t="s">
        <v>0</v>
      </c>
      <c r="E1" s="0" t="s">
        <v>22</v>
      </c>
      <c r="F1" s="0" t="s">
        <v>23</v>
      </c>
    </row>
    <row r="2" customFormat="false" ht="15" hidden="false" customHeight="false" outlineLevel="0" collapsed="false">
      <c r="A2" s="0" t="s">
        <v>24</v>
      </c>
      <c r="B2" s="0" t="s">
        <v>25</v>
      </c>
      <c r="C2" s="0" t="s">
        <v>26</v>
      </c>
      <c r="D2" s="0" t="s">
        <v>27</v>
      </c>
      <c r="E2" s="0" t="s">
        <v>25</v>
      </c>
      <c r="F2" s="0" t="s">
        <v>25</v>
      </c>
    </row>
    <row r="3" customFormat="false" ht="15" hidden="false" customHeight="false" outlineLevel="0" collapsed="false">
      <c r="A3" s="0" t="s">
        <v>28</v>
      </c>
    </row>
    <row r="4" customFormat="false" ht="15" hidden="false" customHeight="false" outlineLevel="0" collapsed="false">
      <c r="A4" s="0" t="s">
        <v>29</v>
      </c>
    </row>
    <row r="5" customFormat="false" ht="15" hidden="false" customHeight="false" outlineLevel="0" collapsed="false">
      <c r="A5" s="0" t="s">
        <v>30</v>
      </c>
    </row>
    <row r="6" customFormat="false" ht="15" hidden="false" customHeight="false" outlineLevel="0" collapsed="false">
      <c r="A6" s="0" t="s">
        <v>31</v>
      </c>
    </row>
    <row r="7" customFormat="false" ht="15" hidden="false" customHeight="false" outlineLevel="0" collapsed="false">
      <c r="A7" s="0" t="s">
        <v>32</v>
      </c>
      <c r="B7" s="0" t="s">
        <v>33</v>
      </c>
      <c r="C7" s="0" t="s">
        <v>33</v>
      </c>
      <c r="D7" s="0" t="s">
        <v>33</v>
      </c>
      <c r="E7" s="0" t="s">
        <v>33</v>
      </c>
      <c r="F7" s="0" t="s">
        <v>33</v>
      </c>
    </row>
  </sheetData>
  <dataValidations count="1">
    <dataValidation allowBlank="true" errorStyle="stop" operator="between" showDropDown="false" showErrorMessage="true" showInputMessage="true" sqref="D3" type="list">
      <formula1>ManufacturerList</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1" sqref="A1 B4"/>
    </sheetView>
  </sheetViews>
  <sheetFormatPr defaultColWidth="11.55078125" defaultRowHeight="12.8" zeroHeight="false" outlineLevelRow="0" outlineLevelCol="0"/>
  <cols>
    <col collapsed="false" customWidth="true" hidden="false" outlineLevel="0" max="1" min="1" style="0" width="23.38"/>
    <col collapsed="false" customWidth="true" hidden="false" outlineLevel="0" max="3" min="2" style="0" width="18.38"/>
  </cols>
  <sheetData>
    <row r="1" customFormat="false" ht="13.8" hidden="false" customHeight="false" outlineLevel="0" collapsed="false">
      <c r="A1" s="0" t="s">
        <v>19</v>
      </c>
      <c r="B1" s="0" t="s">
        <v>34</v>
      </c>
      <c r="C1" s="0" t="s">
        <v>35</v>
      </c>
    </row>
    <row r="2" customFormat="false" ht="13.8" hidden="false" customHeight="false" outlineLevel="0" collapsed="false">
      <c r="A2" s="0" t="s">
        <v>24</v>
      </c>
      <c r="B2" s="0" t="s">
        <v>36</v>
      </c>
      <c r="C2" s="0" t="s">
        <v>36</v>
      </c>
    </row>
    <row r="3" customFormat="false" ht="13.8" hidden="false" customHeight="false" outlineLevel="0" collapsed="false">
      <c r="A3" s="0" t="s">
        <v>28</v>
      </c>
    </row>
    <row r="4" customFormat="false" ht="13.8" hidden="false" customHeight="false" outlineLevel="0" collapsed="false">
      <c r="A4" s="0" t="s">
        <v>29</v>
      </c>
      <c r="B4" s="0" t="s">
        <v>37</v>
      </c>
    </row>
    <row r="5" customFormat="false" ht="13.8" hidden="false" customHeight="false" outlineLevel="0" collapsed="false">
      <c r="A5" s="0" t="s">
        <v>30</v>
      </c>
    </row>
    <row r="6" customFormat="false" ht="13.8" hidden="false" customHeight="false" outlineLevel="0" collapsed="false">
      <c r="A6" s="0" t="s">
        <v>31</v>
      </c>
    </row>
    <row r="7" customFormat="false" ht="13.8" hidden="false" customHeight="false" outlineLevel="0" collapsed="false">
      <c r="A7" s="0" t="s">
        <v>32</v>
      </c>
      <c r="B7" s="3" t="s">
        <v>33</v>
      </c>
      <c r="C7" s="3" t="s">
        <v>33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8" activeCellId="1" sqref="A1 C8"/>
    </sheetView>
  </sheetViews>
  <sheetFormatPr defaultColWidth="8.70703125" defaultRowHeight="15" zeroHeight="false" outlineLevelRow="0" outlineLevelCol="0"/>
  <cols>
    <col collapsed="false" customWidth="true" hidden="false" outlineLevel="0" max="3" min="1" style="0" width="26.42"/>
    <col collapsed="false" customWidth="true" hidden="false" outlineLevel="0" max="4" min="4" style="0" width="21.86"/>
    <col collapsed="false" customWidth="true" hidden="false" outlineLevel="0" max="9" min="5" style="0" width="20.42"/>
  </cols>
  <sheetData>
    <row r="1" customFormat="false" ht="15" hidden="false" customHeight="false" outlineLevel="0" collapsed="false">
      <c r="A1" s="0" t="s">
        <v>19</v>
      </c>
      <c r="B1" s="0" t="s">
        <v>34</v>
      </c>
      <c r="C1" s="0" t="s">
        <v>35</v>
      </c>
      <c r="D1" s="0" t="s">
        <v>38</v>
      </c>
      <c r="E1" s="0" t="s">
        <v>39</v>
      </c>
      <c r="F1" s="0" t="s">
        <v>40</v>
      </c>
      <c r="I1" s="4"/>
    </row>
    <row r="2" customFormat="false" ht="15" hidden="false" customHeight="false" outlineLevel="0" collapsed="false">
      <c r="A2" s="0" t="s">
        <v>24</v>
      </c>
      <c r="B2" s="0" t="s">
        <v>36</v>
      </c>
      <c r="C2" s="0" t="s">
        <v>36</v>
      </c>
      <c r="D2" s="0" t="s">
        <v>41</v>
      </c>
      <c r="E2" s="0" t="s">
        <v>42</v>
      </c>
      <c r="F2" s="0" t="s">
        <v>41</v>
      </c>
    </row>
    <row r="3" customFormat="false" ht="15" hidden="false" customHeight="false" outlineLevel="0" collapsed="false">
      <c r="A3" s="0" t="s">
        <v>28</v>
      </c>
      <c r="E3" s="0" t="s">
        <v>43</v>
      </c>
    </row>
    <row r="4" customFormat="false" ht="15" hidden="false" customHeight="false" outlineLevel="0" collapsed="false">
      <c r="A4" s="0" t="s">
        <v>29</v>
      </c>
      <c r="B4" s="0" t="s">
        <v>44</v>
      </c>
      <c r="C4" s="0" t="s">
        <v>37</v>
      </c>
      <c r="E4" s="0" t="s">
        <v>14</v>
      </c>
    </row>
    <row r="5" customFormat="false" ht="15" hidden="false" customHeight="false" outlineLevel="0" collapsed="false">
      <c r="A5" s="0" t="s">
        <v>30</v>
      </c>
      <c r="D5" s="0" t="n">
        <f aca="false">TRUE()</f>
        <v>1</v>
      </c>
      <c r="E5" s="0" t="n">
        <f aca="false">TRUE()</f>
        <v>1</v>
      </c>
      <c r="F5" s="0" t="n">
        <f aca="false">TRUE()</f>
        <v>1</v>
      </c>
    </row>
    <row r="6" customFormat="false" ht="15" hidden="false" customHeight="false" outlineLevel="0" collapsed="false">
      <c r="A6" s="0" t="s">
        <v>31</v>
      </c>
      <c r="D6" s="0" t="s">
        <v>45</v>
      </c>
      <c r="F6" s="5" t="s">
        <v>6</v>
      </c>
    </row>
    <row r="7" customFormat="false" ht="13.8" hidden="false" customHeight="false" outlineLevel="0" collapsed="false">
      <c r="A7" s="0" t="s">
        <v>32</v>
      </c>
      <c r="B7" s="6" t="s">
        <v>33</v>
      </c>
      <c r="C7" s="6" t="s">
        <v>33</v>
      </c>
      <c r="D7" s="0" t="s">
        <v>33</v>
      </c>
      <c r="E7" s="0" t="s">
        <v>33</v>
      </c>
      <c r="F7" s="0" t="s">
        <v>46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F2CC"/>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1" sqref="A1 B4"/>
    </sheetView>
  </sheetViews>
  <sheetFormatPr defaultColWidth="8.70703125" defaultRowHeight="15" zeroHeight="false" outlineLevelRow="0" outlineLevelCol="0"/>
  <cols>
    <col collapsed="false" customWidth="true" hidden="false" outlineLevel="0" max="1" min="1" style="0" width="25.57"/>
    <col collapsed="false" customWidth="true" hidden="false" outlineLevel="0" max="4" min="2" style="0" width="26.42"/>
    <col collapsed="false" customWidth="true" hidden="false" outlineLevel="0" max="5" min="5" style="0" width="25.57"/>
    <col collapsed="false" customWidth="true" hidden="false" outlineLevel="0" max="7" min="6" style="0" width="30.43"/>
    <col collapsed="false" customWidth="true" hidden="false" outlineLevel="0" max="8" min="8" style="0" width="27.12"/>
    <col collapsed="false" customWidth="true" hidden="false" outlineLevel="0" max="10" min="9" style="0" width="25.57"/>
  </cols>
  <sheetData>
    <row r="1" customFormat="false" ht="15" hidden="false" customHeight="false" outlineLevel="0" collapsed="false">
      <c r="A1" s="0" t="s">
        <v>19</v>
      </c>
      <c r="B1" s="0" t="s">
        <v>34</v>
      </c>
      <c r="C1" s="0" t="s">
        <v>35</v>
      </c>
      <c r="D1" s="2" t="s">
        <v>9</v>
      </c>
      <c r="E1" s="0" t="s">
        <v>47</v>
      </c>
      <c r="F1" s="0" t="s">
        <v>48</v>
      </c>
      <c r="G1" s="2" t="s">
        <v>49</v>
      </c>
      <c r="H1" s="0" t="s">
        <v>50</v>
      </c>
    </row>
    <row r="2" customFormat="false" ht="15" hidden="false" customHeight="false" outlineLevel="0" collapsed="false">
      <c r="A2" s="0" t="s">
        <v>24</v>
      </c>
      <c r="B2" s="0" t="s">
        <v>36</v>
      </c>
      <c r="C2" s="0" t="s">
        <v>36</v>
      </c>
      <c r="D2" s="2" t="s">
        <v>42</v>
      </c>
      <c r="E2" s="0" t="s">
        <v>41</v>
      </c>
      <c r="F2" s="0" t="s">
        <v>42</v>
      </c>
      <c r="G2" s="2" t="s">
        <v>41</v>
      </c>
      <c r="H2" s="0" t="s">
        <v>41</v>
      </c>
    </row>
    <row r="3" customFormat="false" ht="15" hidden="false" customHeight="false" outlineLevel="0" collapsed="false">
      <c r="A3" s="0" t="s">
        <v>28</v>
      </c>
      <c r="D3" s="0" t="s">
        <v>51</v>
      </c>
      <c r="F3" s="0" t="s">
        <v>52</v>
      </c>
      <c r="G3" s="2"/>
    </row>
    <row r="4" customFormat="false" ht="15" hidden="false" customHeight="false" outlineLevel="0" collapsed="false">
      <c r="A4" s="0" t="s">
        <v>29</v>
      </c>
      <c r="B4" s="0" t="s">
        <v>53</v>
      </c>
      <c r="C4" s="0" t="s">
        <v>44</v>
      </c>
      <c r="D4" s="2"/>
      <c r="F4" s="0" t="s">
        <v>14</v>
      </c>
      <c r="G4" s="2"/>
    </row>
    <row r="5" customFormat="false" ht="15" hidden="false" customHeight="false" outlineLevel="0" collapsed="false">
      <c r="A5" s="0" t="s">
        <v>30</v>
      </c>
      <c r="D5" s="0" t="n">
        <f aca="false">TRUE()</f>
        <v>1</v>
      </c>
    </row>
    <row r="6" customFormat="false" ht="15" hidden="false" customHeight="false" outlineLevel="0" collapsed="false">
      <c r="A6" s="0" t="s">
        <v>31</v>
      </c>
      <c r="E6" s="0" t="s">
        <v>54</v>
      </c>
      <c r="G6" s="0" t="s">
        <v>55</v>
      </c>
      <c r="H6" s="0" t="s">
        <v>55</v>
      </c>
    </row>
    <row r="7" customFormat="false" ht="15" hidden="false" customHeight="false" outlineLevel="0" collapsed="false">
      <c r="A7" s="0" t="s">
        <v>32</v>
      </c>
      <c r="B7" s="6" t="s">
        <v>33</v>
      </c>
      <c r="C7" s="6" t="s">
        <v>33</v>
      </c>
      <c r="D7" s="6" t="s">
        <v>37</v>
      </c>
      <c r="E7" s="0" t="s">
        <v>56</v>
      </c>
      <c r="F7" s="0" t="s">
        <v>56</v>
      </c>
      <c r="G7" s="2" t="s">
        <v>56</v>
      </c>
      <c r="H7" s="0" t="s">
        <v>56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95"/>
  <sheetViews>
    <sheetView showFormulas="false" showGridLines="true" showRowColHeaders="true" showZeros="true" rightToLeft="false" tabSelected="true" showOutlineSymbols="true" defaultGridColor="true" view="normal" topLeftCell="A1" colorId="64" zoomScale="86" zoomScaleNormal="86"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0703125" defaultRowHeight="15" zeroHeight="false" outlineLevelRow="0" outlineLevelCol="0"/>
  <cols>
    <col collapsed="false" customWidth="true" hidden="false" outlineLevel="0" max="1" min="1" style="7" width="30.86"/>
    <col collapsed="false" customWidth="true" hidden="false" outlineLevel="0" max="2" min="2" style="7" width="33.14"/>
    <col collapsed="false" customWidth="true" hidden="false" outlineLevel="0" max="3" min="3" style="7" width="19"/>
    <col collapsed="false" customWidth="true" hidden="false" outlineLevel="0" max="4" min="4" style="7" width="18.58"/>
    <col collapsed="false" customWidth="true" hidden="false" outlineLevel="0" max="5" min="5" style="7" width="38.7"/>
    <col collapsed="false" customWidth="true" hidden="false" outlineLevel="0" max="6" min="6" style="7" width="22.43"/>
    <col collapsed="false" customWidth="true" hidden="false" outlineLevel="0" max="7" min="7" style="7" width="22.7"/>
    <col collapsed="false" customWidth="true" hidden="false" outlineLevel="0" max="8" min="8" style="7" width="24.71"/>
    <col collapsed="false" customWidth="true" hidden="false" outlineLevel="0" max="10" min="9" style="7" width="18.29"/>
    <col collapsed="false" customWidth="true" hidden="false" outlineLevel="0" max="11" min="11" style="7" width="27"/>
    <col collapsed="false" customWidth="true" hidden="false" outlineLevel="0" max="12" min="12" style="7" width="33.29"/>
    <col collapsed="false" customWidth="true" hidden="false" outlineLevel="0" max="13" min="13" style="7" width="30.02"/>
    <col collapsed="false" customWidth="true" hidden="false" outlineLevel="0" max="15" min="14" style="0" width="11.86"/>
    <col collapsed="false" customWidth="true" hidden="false" outlineLevel="0" max="16" min="16" style="0" width="10.42"/>
    <col collapsed="false" customWidth="true" hidden="false" outlineLevel="0" max="17" min="17" style="0" width="10.58"/>
    <col collapsed="false" customWidth="true" hidden="false" outlineLevel="0" max="18" min="18" style="0" width="10.12"/>
    <col collapsed="false" customWidth="true" hidden="false" outlineLevel="0" max="19" min="19" style="0" width="10.29"/>
    <col collapsed="false" customWidth="true" hidden="false" outlineLevel="0" max="20" min="20" style="0" width="10.99"/>
  </cols>
  <sheetData>
    <row r="1" customFormat="false" ht="18.55" hidden="false" customHeight="false" outlineLevel="0" collapsed="false">
      <c r="A1" s="8" t="s">
        <v>53</v>
      </c>
      <c r="B1" s="9"/>
      <c r="C1" s="9"/>
      <c r="D1" s="9"/>
      <c r="E1" s="9"/>
      <c r="F1" s="9"/>
      <c r="G1" s="9"/>
      <c r="H1" s="9"/>
      <c r="I1" s="9"/>
      <c r="J1" s="9"/>
      <c r="K1" s="9"/>
      <c r="L1" s="9"/>
      <c r="M1" s="9"/>
      <c r="N1" s="10"/>
    </row>
    <row r="2" customFormat="false" ht="15" hidden="false" customHeight="false" outlineLevel="0" collapsed="false">
      <c r="A2" s="9" t="str">
        <f aca="false">CONCATENATE('Catalogue properties'!B1," [",'Catalogue properties'!B6,"]")</f>
        <v>Catalogue Item name []</v>
      </c>
      <c r="B2" s="9" t="str">
        <f aca="false">CONCATENATE('Catalogue properties'!C1," [",'Catalogue properties'!C6,"]")</f>
        <v>Catalogue item description []</v>
      </c>
      <c r="C2" s="9" t="str">
        <f aca="false">CONCATENATE('Catalogue properties'!D1," [",'Catalogue properties'!D6,"]")</f>
        <v>Manufacturer []</v>
      </c>
      <c r="D2" s="9" t="str">
        <f aca="false">CONCATENATE('Catalogue properties'!E1," [",'Catalogue properties'!E6,"]")</f>
        <v>Manufacturer part/catalog number []</v>
      </c>
      <c r="E2" s="9" t="str">
        <f aca="false">CONCATENATE('Catalogue properties'!F1," [",'Catalogue properties'!F6,"]")</f>
        <v>ManufacturerURL []</v>
      </c>
      <c r="F2" s="9" t="str">
        <f aca="false">CONCATENATE(Actuators!D1," [",Actuators!D6,"]")</f>
        <v>Travel range [mm]</v>
      </c>
      <c r="G2" s="9" t="str">
        <f aca="false">CONCATENATE(Actuators!E1," [",Actuators!E6,"]")</f>
        <v>Vacuum compatibility []</v>
      </c>
      <c r="H2" s="9" t="str">
        <f aca="false">CONCATENATE(Actuators!F1," [",Actuators!F6,"]")</f>
        <v>For vacuum pressure [hPa]</v>
      </c>
      <c r="I2" s="9" t="str">
        <f aca="false">CONCATENATE('Motorized Actuators'!D1," [",'Motorized Actuators'!D6,"]")</f>
        <v>Motor type []</v>
      </c>
      <c r="J2" s="9" t="str">
        <f aca="false">CONCATENATE('Motorized Actuators'!E1," [",'Motorized Actuators'!E6,"]")</f>
        <v>Axial load capacity [N]</v>
      </c>
      <c r="K2" s="9" t="str">
        <f aca="false">CONCATENATE('Motorized Actuators'!F1," [",'Motorized Actuators'!F6,"]")</f>
        <v>Integrated encoder []</v>
      </c>
      <c r="L2" s="9" t="str">
        <f aca="false">CONCATENATE('Motorized Actuators'!G1," [",'Motorized Actuators'!G6,"]")</f>
        <v>Encoder resolution [nm]</v>
      </c>
      <c r="M2" s="9" t="str">
        <f aca="false">CONCATENATE('Motorized Actuators'!H1," [",'Motorized Actuators'!H6,"]")</f>
        <v>Minimum incremental motion [nm]</v>
      </c>
      <c r="N2" s="10" t="s">
        <v>57</v>
      </c>
    </row>
    <row r="3" customFormat="false" ht="26.25" hidden="false" customHeight="true" outlineLevel="0" collapsed="false">
      <c r="A3" s="11" t="s">
        <v>58</v>
      </c>
      <c r="B3" s="12" t="s">
        <v>59</v>
      </c>
      <c r="C3" s="13" t="s">
        <v>7</v>
      </c>
      <c r="D3" s="7" t="s">
        <v>60</v>
      </c>
      <c r="E3" s="14" t="s">
        <v>61</v>
      </c>
      <c r="F3" s="7" t="n">
        <v>25</v>
      </c>
      <c r="G3" s="15" t="s">
        <v>11</v>
      </c>
      <c r="H3" s="7" t="n">
        <f aca="false">10^-6</f>
        <v>1E-006</v>
      </c>
      <c r="I3" s="15" t="s">
        <v>12</v>
      </c>
      <c r="J3" s="7" t="n">
        <v>40</v>
      </c>
      <c r="K3" s="15" t="s">
        <v>14</v>
      </c>
      <c r="L3" s="7" t="s">
        <v>62</v>
      </c>
      <c r="M3" s="7" t="n">
        <v>200</v>
      </c>
      <c r="N3" s="7" t="n">
        <v>12080061</v>
      </c>
      <c r="O3" s="7" t="n">
        <v>12080062</v>
      </c>
      <c r="P3" s="7" t="n">
        <v>12080063</v>
      </c>
      <c r="Q3" s="7" t="n">
        <v>12080064</v>
      </c>
      <c r="R3" s="7" t="n">
        <v>19110816</v>
      </c>
    </row>
    <row r="4" customFormat="false" ht="19.5" hidden="false" customHeight="true" outlineLevel="0" collapsed="false">
      <c r="A4" s="11" t="s">
        <v>63</v>
      </c>
      <c r="B4" s="12" t="s">
        <v>64</v>
      </c>
      <c r="C4" s="13" t="s">
        <v>7</v>
      </c>
      <c r="D4" s="7" t="s">
        <v>65</v>
      </c>
      <c r="E4" s="14" t="s">
        <v>66</v>
      </c>
      <c r="F4" s="7" t="n">
        <v>25</v>
      </c>
      <c r="G4" s="15" t="s">
        <v>14</v>
      </c>
      <c r="H4" s="7" t="s">
        <v>62</v>
      </c>
      <c r="I4" s="15" t="s">
        <v>12</v>
      </c>
      <c r="J4" s="7" t="n">
        <v>40</v>
      </c>
      <c r="K4" s="15" t="s">
        <v>14</v>
      </c>
      <c r="L4" s="7" t="s">
        <v>62</v>
      </c>
      <c r="M4" s="7" t="n">
        <v>200</v>
      </c>
      <c r="N4" s="7" t="n">
        <v>17030391</v>
      </c>
      <c r="O4" s="7"/>
    </row>
    <row r="5" customFormat="false" ht="24.75" hidden="false" customHeight="true" outlineLevel="0" collapsed="false">
      <c r="A5" s="11" t="s">
        <v>67</v>
      </c>
      <c r="B5" s="12" t="s">
        <v>68</v>
      </c>
      <c r="C5" s="13" t="s">
        <v>7</v>
      </c>
      <c r="D5" s="7" t="s">
        <v>69</v>
      </c>
      <c r="E5" s="14" t="s">
        <v>70</v>
      </c>
      <c r="F5" s="7" t="n">
        <v>12</v>
      </c>
      <c r="G5" s="15" t="s">
        <v>11</v>
      </c>
      <c r="H5" s="7" t="n">
        <v>1E-006</v>
      </c>
      <c r="I5" s="15" t="s">
        <v>12</v>
      </c>
      <c r="J5" s="7" t="n">
        <v>40</v>
      </c>
      <c r="K5" s="15" t="s">
        <v>14</v>
      </c>
      <c r="L5" s="7" t="s">
        <v>62</v>
      </c>
      <c r="M5" s="7" t="n">
        <v>200</v>
      </c>
      <c r="N5" s="7" t="n">
        <v>21110459</v>
      </c>
      <c r="O5" s="7" t="n">
        <v>21110460</v>
      </c>
    </row>
    <row r="6" customFormat="false" ht="18.75" hidden="false" customHeight="true" outlineLevel="0" collapsed="false">
      <c r="A6" s="11" t="s">
        <v>71</v>
      </c>
      <c r="B6" s="12" t="s">
        <v>72</v>
      </c>
      <c r="C6" s="13" t="s">
        <v>7</v>
      </c>
      <c r="D6" s="7" t="s">
        <v>73</v>
      </c>
      <c r="E6" s="14" t="s">
        <v>74</v>
      </c>
      <c r="F6" s="7" t="n">
        <v>0.02</v>
      </c>
      <c r="G6" s="15" t="s">
        <v>14</v>
      </c>
      <c r="H6" s="7" t="s">
        <v>62</v>
      </c>
      <c r="I6" s="15" t="s">
        <v>15</v>
      </c>
      <c r="J6" s="7" t="n">
        <v>30</v>
      </c>
      <c r="K6" s="15" t="s">
        <v>14</v>
      </c>
      <c r="L6" s="7" t="s">
        <v>62</v>
      </c>
      <c r="M6" s="7" t="n">
        <v>20</v>
      </c>
      <c r="N6" s="7" t="n">
        <v>16060273</v>
      </c>
    </row>
    <row r="7" customFormat="false" ht="23.25" hidden="false" customHeight="true" outlineLevel="0" collapsed="false">
      <c r="A7" s="11" t="s">
        <v>75</v>
      </c>
      <c r="B7" s="12" t="s">
        <v>76</v>
      </c>
      <c r="C7" s="13" t="s">
        <v>7</v>
      </c>
      <c r="D7" s="7" t="s">
        <v>77</v>
      </c>
      <c r="E7" s="14" t="s">
        <v>78</v>
      </c>
      <c r="F7" s="7" t="n">
        <v>10</v>
      </c>
      <c r="G7" s="15" t="s">
        <v>14</v>
      </c>
      <c r="H7" s="7" t="s">
        <v>62</v>
      </c>
      <c r="I7" s="15" t="s">
        <v>15</v>
      </c>
      <c r="J7" s="7" t="n">
        <v>25</v>
      </c>
      <c r="K7" s="15" t="s">
        <v>14</v>
      </c>
      <c r="L7" s="7" t="s">
        <v>62</v>
      </c>
      <c r="M7" s="7" t="n">
        <v>20</v>
      </c>
      <c r="N7" s="7" t="n">
        <v>19110717</v>
      </c>
      <c r="O7" s="7" t="n">
        <v>19110718</v>
      </c>
      <c r="P7" s="7" t="n">
        <v>20110055</v>
      </c>
      <c r="Q7" s="7" t="n">
        <v>20110056</v>
      </c>
      <c r="R7" s="7" t="n">
        <v>20110057</v>
      </c>
      <c r="S7" s="7" t="n">
        <v>20110058</v>
      </c>
      <c r="T7" s="7" t="n">
        <v>20110060</v>
      </c>
      <c r="U7" s="7" t="n">
        <v>20110063</v>
      </c>
      <c r="V7" s="7" t="n">
        <v>20110065</v>
      </c>
      <c r="W7" s="7" t="n">
        <v>20110067</v>
      </c>
      <c r="X7" s="7" t="n">
        <v>20110068</v>
      </c>
      <c r="Y7" s="7" t="n">
        <v>20110069</v>
      </c>
      <c r="Z7" s="7" t="n">
        <v>20110070</v>
      </c>
      <c r="AA7" s="7" t="n">
        <v>20110071</v>
      </c>
      <c r="AB7" s="7" t="n">
        <v>20110072</v>
      </c>
      <c r="AC7" s="7" t="n">
        <v>20110073</v>
      </c>
      <c r="AD7" s="7" t="n">
        <v>20110074</v>
      </c>
      <c r="AE7" s="7" t="n">
        <v>20110075</v>
      </c>
      <c r="AF7" s="7" t="n">
        <v>20110076</v>
      </c>
      <c r="AG7" s="7" t="n">
        <v>20110077</v>
      </c>
      <c r="AH7" s="7" t="n">
        <v>21080141</v>
      </c>
      <c r="AI7" s="7" t="n">
        <v>21080142</v>
      </c>
    </row>
    <row r="8" customFormat="false" ht="20.25" hidden="false" customHeight="true" outlineLevel="0" collapsed="false">
      <c r="A8" s="11" t="s">
        <v>79</v>
      </c>
      <c r="B8" s="12" t="s">
        <v>80</v>
      </c>
      <c r="C8" s="13" t="s">
        <v>7</v>
      </c>
      <c r="D8" s="7" t="s">
        <v>81</v>
      </c>
      <c r="E8" s="14" t="s">
        <v>82</v>
      </c>
      <c r="F8" s="7" t="n">
        <v>10</v>
      </c>
      <c r="G8" s="15" t="s">
        <v>11</v>
      </c>
      <c r="H8" s="7" t="n">
        <v>1E-006</v>
      </c>
      <c r="I8" s="15" t="s">
        <v>15</v>
      </c>
      <c r="J8" s="7" t="n">
        <v>25</v>
      </c>
      <c r="K8" s="15" t="s">
        <v>14</v>
      </c>
      <c r="L8" s="7" t="s">
        <v>62</v>
      </c>
      <c r="M8" s="7" t="n">
        <v>20</v>
      </c>
      <c r="N8" s="7" t="n">
        <v>21090338</v>
      </c>
      <c r="O8" s="7" t="n">
        <v>21090339</v>
      </c>
    </row>
    <row r="9" customFormat="false" ht="24" hidden="false" customHeight="true" outlineLevel="0" collapsed="false">
      <c r="A9" s="11" t="s">
        <v>83</v>
      </c>
      <c r="B9" s="12" t="s">
        <v>84</v>
      </c>
      <c r="C9" s="13" t="s">
        <v>10</v>
      </c>
      <c r="D9" s="7" t="n">
        <v>8302</v>
      </c>
      <c r="E9" s="14" t="s">
        <v>85</v>
      </c>
      <c r="F9" s="7" t="n">
        <v>25</v>
      </c>
      <c r="G9" s="15" t="s">
        <v>14</v>
      </c>
      <c r="H9" s="7" t="s">
        <v>62</v>
      </c>
      <c r="I9" s="15" t="s">
        <v>15</v>
      </c>
      <c r="J9" s="7" t="n">
        <v>22</v>
      </c>
      <c r="K9" s="15" t="s">
        <v>14</v>
      </c>
      <c r="L9" s="7" t="s">
        <v>62</v>
      </c>
      <c r="M9" s="7" t="n">
        <v>30</v>
      </c>
      <c r="N9" s="7" t="n">
        <v>15026762</v>
      </c>
      <c r="O9" s="7" t="n">
        <v>13060005</v>
      </c>
      <c r="P9" s="7" t="n">
        <v>13060006</v>
      </c>
      <c r="Q9" s="7" t="n">
        <v>13060007</v>
      </c>
      <c r="R9" s="7" t="n">
        <v>13060008</v>
      </c>
      <c r="S9" s="7" t="n">
        <v>13060009</v>
      </c>
      <c r="T9" s="7" t="n">
        <v>13060010</v>
      </c>
    </row>
    <row r="10" s="2" customFormat="true" ht="24.75" hidden="false" customHeight="true" outlineLevel="0" collapsed="false">
      <c r="A10" s="11" t="s">
        <v>86</v>
      </c>
      <c r="B10" s="12" t="s">
        <v>87</v>
      </c>
      <c r="C10" s="13" t="s">
        <v>10</v>
      </c>
      <c r="D10" s="7" t="s">
        <v>88</v>
      </c>
      <c r="E10" s="14" t="s">
        <v>89</v>
      </c>
      <c r="F10" s="7" t="n">
        <v>25</v>
      </c>
      <c r="G10" s="15" t="s">
        <v>11</v>
      </c>
      <c r="H10" s="7" t="n">
        <f aca="false">10^-6</f>
        <v>1E-006</v>
      </c>
      <c r="I10" s="15" t="s">
        <v>15</v>
      </c>
      <c r="J10" s="7" t="n">
        <v>22</v>
      </c>
      <c r="K10" s="15" t="s">
        <v>14</v>
      </c>
      <c r="L10" s="7" t="s">
        <v>62</v>
      </c>
      <c r="M10" s="7" t="n">
        <v>30</v>
      </c>
      <c r="N10" s="7" t="n">
        <v>15120969</v>
      </c>
      <c r="O10" s="7" t="n">
        <v>15120975</v>
      </c>
      <c r="P10" s="7" t="n">
        <v>15121004</v>
      </c>
      <c r="Q10" s="7" t="n">
        <v>15121006</v>
      </c>
      <c r="R10" s="7" t="n">
        <v>15121028</v>
      </c>
      <c r="S10" s="7" t="n">
        <v>15121038</v>
      </c>
      <c r="T10" s="7" t="n">
        <v>15121046</v>
      </c>
      <c r="U10" s="7" t="n">
        <v>15121051</v>
      </c>
      <c r="V10" s="7" t="n">
        <v>16010025</v>
      </c>
    </row>
    <row r="11" customFormat="false" ht="21" hidden="false" customHeight="true" outlineLevel="0" collapsed="false">
      <c r="A11" s="11" t="s">
        <v>90</v>
      </c>
      <c r="B11" s="12" t="s">
        <v>91</v>
      </c>
      <c r="C11" s="13" t="s">
        <v>10</v>
      </c>
      <c r="D11" s="7" t="s">
        <v>92</v>
      </c>
      <c r="E11" s="14" t="s">
        <v>93</v>
      </c>
      <c r="F11" s="7" t="n">
        <v>11</v>
      </c>
      <c r="G11" s="15" t="s">
        <v>14</v>
      </c>
      <c r="H11" s="7" t="s">
        <v>62</v>
      </c>
      <c r="I11" s="15" t="s">
        <v>12</v>
      </c>
      <c r="J11" s="7" t="n">
        <v>28</v>
      </c>
      <c r="K11" s="15" t="s">
        <v>14</v>
      </c>
      <c r="L11" s="7" t="s">
        <v>62</v>
      </c>
      <c r="M11" s="7" t="n">
        <v>200</v>
      </c>
      <c r="N11" s="7" t="n">
        <v>14040040</v>
      </c>
      <c r="O11" s="7" t="n">
        <v>14040041</v>
      </c>
      <c r="P11" s="7" t="n">
        <v>14040042</v>
      </c>
      <c r="Q11" s="7" t="n">
        <v>14040043</v>
      </c>
      <c r="R11" s="7" t="n">
        <v>14080415</v>
      </c>
      <c r="S11" s="7" t="s">
        <v>94</v>
      </c>
      <c r="T11" s="7" t="n">
        <v>15090469</v>
      </c>
      <c r="U11" s="7" t="s">
        <v>95</v>
      </c>
      <c r="V11" s="7" t="n">
        <v>1808584</v>
      </c>
    </row>
    <row r="12" customFormat="false" ht="20.25" hidden="false" customHeight="true" outlineLevel="0" collapsed="false">
      <c r="A12" s="11" t="s">
        <v>96</v>
      </c>
      <c r="B12" s="12" t="s">
        <v>97</v>
      </c>
      <c r="C12" s="13" t="s">
        <v>10</v>
      </c>
      <c r="D12" s="7" t="s">
        <v>98</v>
      </c>
      <c r="E12" s="14" t="s">
        <v>99</v>
      </c>
      <c r="F12" s="7" t="n">
        <v>11</v>
      </c>
      <c r="G12" s="15" t="s">
        <v>11</v>
      </c>
      <c r="H12" s="7" t="n">
        <f aca="false">10^-6</f>
        <v>1E-006</v>
      </c>
      <c r="I12" s="15" t="s">
        <v>12</v>
      </c>
      <c r="J12" s="7" t="n">
        <v>14</v>
      </c>
      <c r="K12" s="15" t="s">
        <v>14</v>
      </c>
      <c r="L12" s="7" t="s">
        <v>62</v>
      </c>
      <c r="M12" s="7" t="n">
        <v>200</v>
      </c>
      <c r="N12" s="7" t="n">
        <v>14120062</v>
      </c>
      <c r="O12" s="7" t="n">
        <v>14120063</v>
      </c>
      <c r="P12" s="7" t="n">
        <v>14120064</v>
      </c>
      <c r="Q12" s="7" t="n">
        <v>14120065</v>
      </c>
      <c r="R12" s="7" t="n">
        <v>14120066</v>
      </c>
      <c r="S12" s="7" t="n">
        <v>14120067</v>
      </c>
      <c r="T12" s="7" t="s">
        <v>100</v>
      </c>
      <c r="U12" s="7" t="s">
        <v>101</v>
      </c>
      <c r="V12" s="7" t="s">
        <v>102</v>
      </c>
      <c r="W12" s="7" t="n">
        <v>18061477</v>
      </c>
      <c r="X12" s="7" t="n">
        <v>18061478</v>
      </c>
    </row>
    <row r="13" customFormat="false" ht="24" hidden="false" customHeight="true" outlineLevel="0" collapsed="false">
      <c r="A13" s="11" t="s">
        <v>103</v>
      </c>
      <c r="B13" s="12" t="s">
        <v>104</v>
      </c>
      <c r="C13" s="13" t="s">
        <v>10</v>
      </c>
      <c r="D13" s="7" t="s">
        <v>105</v>
      </c>
      <c r="E13" s="14" t="s">
        <v>106</v>
      </c>
      <c r="F13" s="7" t="n">
        <v>12</v>
      </c>
      <c r="G13" s="15" t="s">
        <v>14</v>
      </c>
      <c r="H13" s="7" t="s">
        <v>62</v>
      </c>
      <c r="I13" s="15" t="s">
        <v>12</v>
      </c>
      <c r="J13" s="7" t="n">
        <v>60</v>
      </c>
      <c r="K13" s="15" t="s">
        <v>14</v>
      </c>
      <c r="L13" s="7" t="s">
        <v>62</v>
      </c>
      <c r="M13" s="7" t="n">
        <v>200</v>
      </c>
      <c r="N13" s="7" t="n">
        <v>15030005</v>
      </c>
      <c r="O13" s="7" t="n">
        <v>15030006</v>
      </c>
      <c r="P13" s="7" t="n">
        <v>15121652</v>
      </c>
      <c r="Q13" s="7" t="n">
        <v>16080047</v>
      </c>
    </row>
    <row r="14" s="2" customFormat="true" ht="22.5" hidden="false" customHeight="true" outlineLevel="0" collapsed="false">
      <c r="A14" s="11" t="s">
        <v>107</v>
      </c>
      <c r="B14" s="12" t="s">
        <v>108</v>
      </c>
      <c r="C14" s="13" t="s">
        <v>10</v>
      </c>
      <c r="D14" s="7" t="s">
        <v>109</v>
      </c>
      <c r="E14" s="14" t="s">
        <v>110</v>
      </c>
      <c r="F14" s="7" t="n">
        <v>6</v>
      </c>
      <c r="G14" s="15" t="s">
        <v>14</v>
      </c>
      <c r="H14" s="7" t="s">
        <v>62</v>
      </c>
      <c r="I14" s="15" t="s">
        <v>12</v>
      </c>
      <c r="J14" s="7" t="n">
        <v>90</v>
      </c>
      <c r="K14" s="15" t="s">
        <v>14</v>
      </c>
      <c r="L14" s="7" t="s">
        <v>62</v>
      </c>
      <c r="M14" s="7" t="n">
        <v>100</v>
      </c>
      <c r="N14" s="7" t="n">
        <v>20070163</v>
      </c>
      <c r="O14" s="7" t="n">
        <v>20070166</v>
      </c>
      <c r="P14" s="7" t="n">
        <v>20070167</v>
      </c>
      <c r="Q14" s="7" t="n">
        <v>20070168</v>
      </c>
      <c r="R14" s="7" t="n">
        <v>20070169</v>
      </c>
      <c r="S14" s="7" t="n">
        <v>22040110</v>
      </c>
      <c r="T14" s="7" t="n">
        <v>22040111</v>
      </c>
    </row>
    <row r="15" customFormat="false" ht="23.25" hidden="false" customHeight="true" outlineLevel="0" collapsed="false">
      <c r="A15" s="11" t="s">
        <v>111</v>
      </c>
      <c r="B15" s="12" t="s">
        <v>112</v>
      </c>
      <c r="C15" s="13" t="s">
        <v>10</v>
      </c>
      <c r="D15" s="7" t="s">
        <v>113</v>
      </c>
      <c r="E15" s="14" t="s">
        <v>114</v>
      </c>
      <c r="F15" s="7" t="n">
        <v>50</v>
      </c>
      <c r="G15" s="15" t="s">
        <v>11</v>
      </c>
      <c r="H15" s="7" t="n">
        <f aca="false">10^-6</f>
        <v>1E-006</v>
      </c>
      <c r="I15" s="15" t="s">
        <v>12</v>
      </c>
      <c r="J15" s="7" t="n">
        <v>40</v>
      </c>
      <c r="K15" s="15" t="s">
        <v>14</v>
      </c>
      <c r="L15" s="7" t="s">
        <v>62</v>
      </c>
      <c r="M15" s="7" t="n">
        <v>80</v>
      </c>
      <c r="N15" s="7" t="n">
        <v>16020241</v>
      </c>
      <c r="O15" s="7" t="n">
        <v>16020242</v>
      </c>
      <c r="P15" s="7" t="s">
        <v>115</v>
      </c>
    </row>
    <row r="16" customFormat="false" ht="19.5" hidden="false" customHeight="true" outlineLevel="0" collapsed="false">
      <c r="A16" s="11" t="s">
        <v>116</v>
      </c>
      <c r="B16" s="12" t="s">
        <v>117</v>
      </c>
      <c r="C16" s="13" t="s">
        <v>10</v>
      </c>
      <c r="D16" s="7" t="s">
        <v>116</v>
      </c>
      <c r="E16" s="14" t="s">
        <v>118</v>
      </c>
      <c r="F16" s="7" t="n">
        <v>10</v>
      </c>
      <c r="G16" s="15" t="s">
        <v>11</v>
      </c>
      <c r="H16" s="7" t="n">
        <f aca="false">10^-6</f>
        <v>1E-006</v>
      </c>
      <c r="I16" s="15" t="s">
        <v>12</v>
      </c>
      <c r="J16" s="7" t="n">
        <v>500</v>
      </c>
      <c r="K16" s="15" t="s">
        <v>14</v>
      </c>
      <c r="L16" s="7" t="s">
        <v>62</v>
      </c>
      <c r="M16" s="7" t="n">
        <v>50</v>
      </c>
      <c r="N16" s="7" t="s">
        <v>119</v>
      </c>
      <c r="O16" s="7" t="n">
        <v>19090392</v>
      </c>
    </row>
    <row r="17" customFormat="false" ht="22.5" hidden="false" customHeight="true" outlineLevel="0" collapsed="false">
      <c r="A17" s="11" t="s">
        <v>120</v>
      </c>
      <c r="B17" s="12" t="s">
        <v>121</v>
      </c>
      <c r="C17" s="13" t="s">
        <v>18</v>
      </c>
      <c r="D17" s="7" t="s">
        <v>122</v>
      </c>
      <c r="E17" s="14" t="s">
        <v>123</v>
      </c>
      <c r="F17" s="7" t="n">
        <v>6</v>
      </c>
      <c r="G17" s="15" t="s">
        <v>11</v>
      </c>
      <c r="H17" s="7" t="n">
        <f aca="false">10^-6</f>
        <v>1E-006</v>
      </c>
      <c r="I17" s="15" t="s">
        <v>12</v>
      </c>
      <c r="J17" s="7" t="n">
        <v>30</v>
      </c>
      <c r="K17" s="15" t="s">
        <v>14</v>
      </c>
      <c r="L17" s="7" t="s">
        <v>62</v>
      </c>
      <c r="M17" s="7" t="n">
        <v>100</v>
      </c>
      <c r="N17" s="7" t="n">
        <v>18010739</v>
      </c>
      <c r="O17" s="7" t="n">
        <v>18010740</v>
      </c>
      <c r="P17" s="7" t="n">
        <v>18010742</v>
      </c>
      <c r="Q17" s="7" t="n">
        <v>18010744</v>
      </c>
    </row>
    <row r="18" customFormat="false" ht="25.5" hidden="false" customHeight="true" outlineLevel="0" collapsed="false">
      <c r="A18" s="11" t="s">
        <v>124</v>
      </c>
      <c r="B18" s="12" t="s">
        <v>125</v>
      </c>
      <c r="C18" s="13" t="s">
        <v>18</v>
      </c>
      <c r="D18" s="7" t="s">
        <v>126</v>
      </c>
      <c r="E18" s="14" t="s">
        <v>127</v>
      </c>
      <c r="F18" s="7" t="n">
        <v>25</v>
      </c>
      <c r="G18" s="15" t="s">
        <v>11</v>
      </c>
      <c r="H18" s="7" t="n">
        <f aca="false">10^-6</f>
        <v>1E-006</v>
      </c>
      <c r="I18" s="15" t="s">
        <v>12</v>
      </c>
      <c r="J18" s="7" t="n">
        <v>100</v>
      </c>
      <c r="K18" s="15" t="s">
        <v>14</v>
      </c>
      <c r="L18" s="7" t="s">
        <v>62</v>
      </c>
      <c r="M18" s="7" t="n">
        <v>80</v>
      </c>
      <c r="N18" s="7" t="s">
        <v>128</v>
      </c>
      <c r="O18" s="7" t="s">
        <v>129</v>
      </c>
      <c r="P18" s="7" t="s">
        <v>130</v>
      </c>
      <c r="Q18" s="7" t="n">
        <v>21090424</v>
      </c>
      <c r="R18" s="7" t="n">
        <v>21090426</v>
      </c>
      <c r="S18" s="7" t="s">
        <v>131</v>
      </c>
    </row>
    <row r="19" customFormat="false" ht="25.5" hidden="false" customHeight="true" outlineLevel="0" collapsed="false">
      <c r="A19" s="11" t="s">
        <v>132</v>
      </c>
      <c r="B19" s="12" t="s">
        <v>133</v>
      </c>
      <c r="C19" s="13" t="s">
        <v>18</v>
      </c>
      <c r="D19" s="7" t="s">
        <v>134</v>
      </c>
      <c r="E19" s="14" t="s">
        <v>135</v>
      </c>
      <c r="F19" s="7" t="n">
        <v>12.7</v>
      </c>
      <c r="G19" s="15" t="s">
        <v>11</v>
      </c>
      <c r="H19" s="7" t="n">
        <f aca="false">10^-6</f>
        <v>1E-006</v>
      </c>
      <c r="I19" s="15" t="s">
        <v>15</v>
      </c>
      <c r="J19" s="7" t="n">
        <v>22</v>
      </c>
      <c r="K19" s="15" t="s">
        <v>14</v>
      </c>
      <c r="L19" s="7" t="s">
        <v>62</v>
      </c>
      <c r="M19" s="7" t="n">
        <v>30</v>
      </c>
      <c r="N19" s="7" t="s">
        <v>136</v>
      </c>
    </row>
    <row r="20" customFormat="false" ht="30" hidden="false" customHeight="true" outlineLevel="0" collapsed="false">
      <c r="A20" s="11" t="s">
        <v>137</v>
      </c>
      <c r="B20" s="12" t="s">
        <v>138</v>
      </c>
      <c r="C20" s="13" t="s">
        <v>13</v>
      </c>
      <c r="D20" s="7" t="s">
        <v>139</v>
      </c>
      <c r="E20" s="14" t="s">
        <v>140</v>
      </c>
      <c r="F20" s="7" t="n">
        <v>25</v>
      </c>
      <c r="G20" s="15" t="s">
        <v>11</v>
      </c>
      <c r="H20" s="7" t="n">
        <f aca="false">10^-6</f>
        <v>1E-006</v>
      </c>
      <c r="I20" s="15" t="s">
        <v>12</v>
      </c>
      <c r="J20" s="7" t="n">
        <v>100</v>
      </c>
      <c r="K20" s="15" t="s">
        <v>14</v>
      </c>
      <c r="L20" s="7" t="s">
        <v>62</v>
      </c>
      <c r="M20" s="7" t="n">
        <v>100</v>
      </c>
      <c r="N20" s="7" t="s">
        <v>141</v>
      </c>
    </row>
    <row r="21" customFormat="false" ht="18" hidden="false" customHeight="true" outlineLevel="0" collapsed="false">
      <c r="A21" s="11" t="s">
        <v>142</v>
      </c>
      <c r="B21" s="12" t="s">
        <v>143</v>
      </c>
      <c r="C21" s="13" t="s">
        <v>16</v>
      </c>
      <c r="D21" s="7" t="s">
        <v>144</v>
      </c>
      <c r="E21" s="14" t="s">
        <v>145</v>
      </c>
      <c r="F21" s="7" t="n">
        <v>103</v>
      </c>
      <c r="G21" s="15" t="s">
        <v>11</v>
      </c>
      <c r="H21" s="7" t="n">
        <f aca="false">10^-6</f>
        <v>1E-006</v>
      </c>
      <c r="I21" s="15" t="s">
        <v>15</v>
      </c>
      <c r="J21" s="7" t="n">
        <v>30</v>
      </c>
      <c r="K21" s="15" t="s">
        <v>14</v>
      </c>
      <c r="L21" s="7" t="s">
        <v>62</v>
      </c>
      <c r="M21" s="7" t="n">
        <v>1</v>
      </c>
      <c r="N21" s="7" t="n">
        <v>16010409</v>
      </c>
      <c r="O21" s="7" t="n">
        <v>16010410</v>
      </c>
      <c r="P21" s="7" t="n">
        <v>16010411</v>
      </c>
      <c r="Q21" s="7" t="n">
        <v>16010412</v>
      </c>
    </row>
    <row r="22" customFormat="false" ht="21.75" hidden="false" customHeight="true" outlineLevel="0" collapsed="false">
      <c r="A22" s="11" t="s">
        <v>146</v>
      </c>
      <c r="B22" s="12" t="s">
        <v>147</v>
      </c>
      <c r="C22" s="13" t="s">
        <v>17</v>
      </c>
      <c r="D22" s="7" t="s">
        <v>148</v>
      </c>
      <c r="E22" s="14" t="s">
        <v>149</v>
      </c>
      <c r="F22" s="7" t="n">
        <v>10</v>
      </c>
      <c r="G22" s="15" t="s">
        <v>11</v>
      </c>
      <c r="H22" s="7" t="n">
        <f aca="false">10^-6</f>
        <v>1E-006</v>
      </c>
      <c r="I22" s="15" t="s">
        <v>12</v>
      </c>
      <c r="J22" s="7" t="n">
        <v>30</v>
      </c>
      <c r="K22" s="15" t="s">
        <v>14</v>
      </c>
      <c r="L22" s="7" t="s">
        <v>62</v>
      </c>
      <c r="M22" s="7" t="n">
        <v>156</v>
      </c>
      <c r="N22" s="7" t="n">
        <v>18040402</v>
      </c>
    </row>
    <row r="23" customFormat="false" ht="15" hidden="false" customHeight="false" outlineLevel="0" collapsed="false">
      <c r="A23" s="11"/>
      <c r="B23" s="12"/>
      <c r="G23" s="15"/>
      <c r="I23" s="15"/>
      <c r="K23" s="15"/>
    </row>
    <row r="24" customFormat="false" ht="15" hidden="false" customHeight="false" outlineLevel="0" collapsed="false">
      <c r="A24" s="11"/>
      <c r="B24" s="12"/>
      <c r="G24" s="15"/>
      <c r="I24" s="15"/>
      <c r="K24" s="15"/>
    </row>
    <row r="25" customFormat="false" ht="15" hidden="false" customHeight="false" outlineLevel="0" collapsed="false">
      <c r="A25" s="11"/>
      <c r="B25" s="11"/>
      <c r="G25" s="15"/>
      <c r="I25" s="15"/>
      <c r="K25" s="15"/>
    </row>
    <row r="26" customFormat="false" ht="15" hidden="false" customHeight="false" outlineLevel="0" collapsed="false">
      <c r="A26" s="11"/>
      <c r="B26" s="16"/>
      <c r="G26" s="15"/>
      <c r="I26" s="15"/>
      <c r="K26" s="15"/>
    </row>
    <row r="27" customFormat="false" ht="15" hidden="false" customHeight="false" outlineLevel="0" collapsed="false">
      <c r="A27" s="11"/>
      <c r="B27" s="16"/>
      <c r="G27" s="15"/>
      <c r="I27" s="15"/>
      <c r="K27" s="15"/>
    </row>
    <row r="28" customFormat="false" ht="15" hidden="false" customHeight="false" outlineLevel="0" collapsed="false">
      <c r="B28" s="16"/>
      <c r="G28" s="15"/>
      <c r="I28" s="15"/>
      <c r="K28" s="15"/>
    </row>
    <row r="29" customFormat="false" ht="15" hidden="false" customHeight="false" outlineLevel="0" collapsed="false">
      <c r="B29" s="16"/>
      <c r="G29" s="15"/>
      <c r="I29" s="15"/>
      <c r="K29" s="15"/>
    </row>
    <row r="30" customFormat="false" ht="15" hidden="false" customHeight="false" outlineLevel="0" collapsed="false">
      <c r="G30" s="15"/>
      <c r="I30" s="15"/>
      <c r="K30" s="15"/>
    </row>
    <row r="31" customFormat="false" ht="15" hidden="false" customHeight="false" outlineLevel="0" collapsed="false">
      <c r="G31" s="15"/>
      <c r="I31" s="15"/>
      <c r="K31" s="15"/>
    </row>
    <row r="32" customFormat="false" ht="15" hidden="false" customHeight="false" outlineLevel="0" collapsed="false">
      <c r="G32" s="15"/>
      <c r="I32" s="15"/>
      <c r="K32" s="15"/>
    </row>
    <row r="33" customFormat="false" ht="15" hidden="false" customHeight="false" outlineLevel="0" collapsed="false">
      <c r="G33" s="15"/>
      <c r="I33" s="15"/>
      <c r="K33" s="15"/>
    </row>
    <row r="34" customFormat="false" ht="15" hidden="false" customHeight="false" outlineLevel="0" collapsed="false">
      <c r="G34" s="15"/>
      <c r="I34" s="15"/>
      <c r="K34" s="15"/>
    </row>
    <row r="35" customFormat="false" ht="15" hidden="false" customHeight="false" outlineLevel="0" collapsed="false">
      <c r="G35" s="15"/>
      <c r="I35" s="15"/>
      <c r="K35" s="15"/>
    </row>
    <row r="36" customFormat="false" ht="15" hidden="false" customHeight="false" outlineLevel="0" collapsed="false">
      <c r="G36" s="15"/>
      <c r="I36" s="15"/>
      <c r="K36" s="15"/>
    </row>
    <row r="37" customFormat="false" ht="15" hidden="false" customHeight="false" outlineLevel="0" collapsed="false">
      <c r="G37" s="15"/>
      <c r="I37" s="15"/>
      <c r="K37" s="15"/>
    </row>
    <row r="38" customFormat="false" ht="15" hidden="false" customHeight="false" outlineLevel="0" collapsed="false">
      <c r="G38" s="15"/>
      <c r="I38" s="15"/>
      <c r="K38" s="15"/>
    </row>
    <row r="39" customFormat="false" ht="15" hidden="false" customHeight="false" outlineLevel="0" collapsed="false">
      <c r="G39" s="15"/>
      <c r="I39" s="15"/>
      <c r="K39" s="15"/>
    </row>
    <row r="40" customFormat="false" ht="15" hidden="false" customHeight="false" outlineLevel="0" collapsed="false">
      <c r="G40" s="15"/>
      <c r="I40" s="15"/>
      <c r="K40" s="15"/>
    </row>
    <row r="41" customFormat="false" ht="15" hidden="false" customHeight="false" outlineLevel="0" collapsed="false">
      <c r="G41" s="15"/>
      <c r="I41" s="15"/>
      <c r="K41" s="15"/>
    </row>
    <row r="42" customFormat="false" ht="15" hidden="false" customHeight="false" outlineLevel="0" collapsed="false">
      <c r="G42" s="15"/>
      <c r="I42" s="15"/>
      <c r="K42" s="15"/>
    </row>
    <row r="43" customFormat="false" ht="15" hidden="false" customHeight="false" outlineLevel="0" collapsed="false">
      <c r="G43" s="15"/>
      <c r="I43" s="15"/>
      <c r="K43" s="15"/>
    </row>
    <row r="44" customFormat="false" ht="15" hidden="false" customHeight="false" outlineLevel="0" collapsed="false">
      <c r="G44" s="15"/>
      <c r="I44" s="15"/>
      <c r="K44" s="15"/>
    </row>
    <row r="45" customFormat="false" ht="15" hidden="false" customHeight="false" outlineLevel="0" collapsed="false">
      <c r="G45" s="15"/>
      <c r="I45" s="15"/>
      <c r="K45" s="15"/>
    </row>
    <row r="46" customFormat="false" ht="15" hidden="false" customHeight="false" outlineLevel="0" collapsed="false">
      <c r="G46" s="15"/>
      <c r="I46" s="15"/>
      <c r="K46" s="15"/>
    </row>
    <row r="47" customFormat="false" ht="15" hidden="false" customHeight="false" outlineLevel="0" collapsed="false">
      <c r="G47" s="15"/>
      <c r="I47" s="15"/>
      <c r="K47" s="15"/>
    </row>
    <row r="48" customFormat="false" ht="15" hidden="false" customHeight="false" outlineLevel="0" collapsed="false">
      <c r="G48" s="15"/>
      <c r="I48" s="15"/>
      <c r="K48" s="15"/>
    </row>
    <row r="49" customFormat="false" ht="15" hidden="false" customHeight="false" outlineLevel="0" collapsed="false">
      <c r="G49" s="15"/>
      <c r="I49" s="15"/>
      <c r="K49" s="15"/>
    </row>
    <row r="50" customFormat="false" ht="15" hidden="false" customHeight="false" outlineLevel="0" collapsed="false">
      <c r="G50" s="15"/>
      <c r="I50" s="15"/>
      <c r="K50" s="15"/>
    </row>
    <row r="51" customFormat="false" ht="15" hidden="false" customHeight="false" outlineLevel="0" collapsed="false">
      <c r="G51" s="15"/>
      <c r="I51" s="15"/>
      <c r="K51" s="15"/>
    </row>
    <row r="52" customFormat="false" ht="15" hidden="false" customHeight="false" outlineLevel="0" collapsed="false">
      <c r="G52" s="15"/>
      <c r="I52" s="15"/>
      <c r="K52" s="15"/>
    </row>
    <row r="53" customFormat="false" ht="15" hidden="false" customHeight="false" outlineLevel="0" collapsed="false">
      <c r="G53" s="15"/>
      <c r="I53" s="15"/>
      <c r="K53" s="15"/>
    </row>
    <row r="54" customFormat="false" ht="15" hidden="false" customHeight="false" outlineLevel="0" collapsed="false">
      <c r="G54" s="15"/>
      <c r="I54" s="15"/>
      <c r="K54" s="15"/>
    </row>
    <row r="55" customFormat="false" ht="15" hidden="false" customHeight="false" outlineLevel="0" collapsed="false">
      <c r="G55" s="15"/>
      <c r="I55" s="15"/>
      <c r="K55" s="15"/>
    </row>
    <row r="56" customFormat="false" ht="15" hidden="false" customHeight="false" outlineLevel="0" collapsed="false">
      <c r="G56" s="15"/>
      <c r="I56" s="15"/>
      <c r="K56" s="15"/>
    </row>
    <row r="57" customFormat="false" ht="15" hidden="false" customHeight="false" outlineLevel="0" collapsed="false">
      <c r="G57" s="15"/>
      <c r="I57" s="15"/>
      <c r="K57" s="15"/>
    </row>
    <row r="58" customFormat="false" ht="15" hidden="false" customHeight="false" outlineLevel="0" collapsed="false">
      <c r="G58" s="15"/>
      <c r="I58" s="15"/>
      <c r="K58" s="15"/>
    </row>
    <row r="59" customFormat="false" ht="15" hidden="false" customHeight="false" outlineLevel="0" collapsed="false">
      <c r="G59" s="15"/>
      <c r="I59" s="15"/>
      <c r="K59" s="15"/>
    </row>
    <row r="60" customFormat="false" ht="15" hidden="false" customHeight="false" outlineLevel="0" collapsed="false">
      <c r="G60" s="15"/>
      <c r="I60" s="15"/>
      <c r="K60" s="15"/>
    </row>
    <row r="61" customFormat="false" ht="15" hidden="false" customHeight="false" outlineLevel="0" collapsed="false">
      <c r="G61" s="15"/>
      <c r="I61" s="15"/>
      <c r="K61" s="15"/>
    </row>
    <row r="62" customFormat="false" ht="15" hidden="false" customHeight="false" outlineLevel="0" collapsed="false">
      <c r="G62" s="15"/>
      <c r="I62" s="15"/>
      <c r="K62" s="15"/>
    </row>
    <row r="63" customFormat="false" ht="15" hidden="false" customHeight="false" outlineLevel="0" collapsed="false">
      <c r="G63" s="15"/>
      <c r="I63" s="15"/>
      <c r="K63" s="15"/>
    </row>
    <row r="64" customFormat="false" ht="15" hidden="false" customHeight="false" outlineLevel="0" collapsed="false">
      <c r="G64" s="15"/>
      <c r="I64" s="15"/>
      <c r="K64" s="15"/>
    </row>
    <row r="65" customFormat="false" ht="15" hidden="false" customHeight="false" outlineLevel="0" collapsed="false">
      <c r="G65" s="15"/>
      <c r="I65" s="15"/>
      <c r="K65" s="15"/>
    </row>
    <row r="66" customFormat="false" ht="15" hidden="false" customHeight="false" outlineLevel="0" collapsed="false">
      <c r="G66" s="15"/>
      <c r="I66" s="15"/>
      <c r="K66" s="15"/>
    </row>
    <row r="67" customFormat="false" ht="15" hidden="false" customHeight="false" outlineLevel="0" collapsed="false">
      <c r="G67" s="15"/>
      <c r="I67" s="15"/>
      <c r="K67" s="15"/>
    </row>
    <row r="68" customFormat="false" ht="15" hidden="false" customHeight="false" outlineLevel="0" collapsed="false">
      <c r="G68" s="15"/>
      <c r="I68" s="15"/>
      <c r="K68" s="15"/>
    </row>
    <row r="69" customFormat="false" ht="15" hidden="false" customHeight="false" outlineLevel="0" collapsed="false">
      <c r="G69" s="15"/>
      <c r="I69" s="15"/>
      <c r="K69" s="15"/>
    </row>
    <row r="70" customFormat="false" ht="15" hidden="false" customHeight="false" outlineLevel="0" collapsed="false">
      <c r="G70" s="15"/>
      <c r="I70" s="15"/>
      <c r="K70" s="15"/>
    </row>
    <row r="71" customFormat="false" ht="15" hidden="false" customHeight="false" outlineLevel="0" collapsed="false">
      <c r="G71" s="15"/>
      <c r="I71" s="15"/>
      <c r="K71" s="15"/>
    </row>
    <row r="72" customFormat="false" ht="15" hidden="false" customHeight="false" outlineLevel="0" collapsed="false">
      <c r="G72" s="15"/>
      <c r="I72" s="15"/>
      <c r="K72" s="15"/>
    </row>
    <row r="73" customFormat="false" ht="15" hidden="false" customHeight="false" outlineLevel="0" collapsed="false">
      <c r="G73" s="15"/>
      <c r="I73" s="15"/>
      <c r="K73" s="15"/>
    </row>
    <row r="74" customFormat="false" ht="15" hidden="false" customHeight="false" outlineLevel="0" collapsed="false">
      <c r="G74" s="15"/>
      <c r="I74" s="15"/>
      <c r="K74" s="15"/>
    </row>
    <row r="75" customFormat="false" ht="15" hidden="false" customHeight="false" outlineLevel="0" collapsed="false">
      <c r="G75" s="15"/>
      <c r="I75" s="15"/>
      <c r="K75" s="15"/>
    </row>
    <row r="76" customFormat="false" ht="15" hidden="false" customHeight="false" outlineLevel="0" collapsed="false">
      <c r="G76" s="15"/>
      <c r="I76" s="15"/>
      <c r="K76" s="15"/>
    </row>
    <row r="77" customFormat="false" ht="15" hidden="false" customHeight="false" outlineLevel="0" collapsed="false">
      <c r="G77" s="15"/>
      <c r="I77" s="15"/>
      <c r="K77" s="15"/>
    </row>
    <row r="78" customFormat="false" ht="15" hidden="false" customHeight="false" outlineLevel="0" collapsed="false">
      <c r="G78" s="15"/>
      <c r="I78" s="15"/>
      <c r="K78" s="15"/>
    </row>
    <row r="79" customFormat="false" ht="15" hidden="false" customHeight="false" outlineLevel="0" collapsed="false">
      <c r="G79" s="15"/>
      <c r="I79" s="15"/>
      <c r="K79" s="15"/>
    </row>
    <row r="80" customFormat="false" ht="15" hidden="false" customHeight="false" outlineLevel="0" collapsed="false">
      <c r="G80" s="15"/>
      <c r="I80" s="15"/>
      <c r="K80" s="15"/>
    </row>
    <row r="81" customFormat="false" ht="15" hidden="false" customHeight="false" outlineLevel="0" collapsed="false">
      <c r="G81" s="15"/>
      <c r="I81" s="15"/>
      <c r="K81" s="15"/>
    </row>
    <row r="82" customFormat="false" ht="15" hidden="false" customHeight="false" outlineLevel="0" collapsed="false">
      <c r="G82" s="15"/>
      <c r="I82" s="15"/>
      <c r="K82" s="15"/>
    </row>
    <row r="83" customFormat="false" ht="15" hidden="false" customHeight="false" outlineLevel="0" collapsed="false">
      <c r="G83" s="15"/>
      <c r="I83" s="15"/>
      <c r="K83" s="15"/>
    </row>
    <row r="84" customFormat="false" ht="15" hidden="false" customHeight="false" outlineLevel="0" collapsed="false">
      <c r="G84" s="15"/>
      <c r="I84" s="15"/>
      <c r="K84" s="15"/>
    </row>
    <row r="85" customFormat="false" ht="15" hidden="false" customHeight="false" outlineLevel="0" collapsed="false">
      <c r="G85" s="15"/>
      <c r="I85" s="15"/>
      <c r="K85" s="15"/>
    </row>
    <row r="86" customFormat="false" ht="15" hidden="false" customHeight="false" outlineLevel="0" collapsed="false">
      <c r="G86" s="15"/>
      <c r="I86" s="15"/>
      <c r="K86" s="15"/>
    </row>
    <row r="87" customFormat="false" ht="15" hidden="false" customHeight="false" outlineLevel="0" collapsed="false">
      <c r="G87" s="15"/>
      <c r="I87" s="15"/>
      <c r="K87" s="15"/>
    </row>
    <row r="88" customFormat="false" ht="15" hidden="false" customHeight="false" outlineLevel="0" collapsed="false">
      <c r="G88" s="15"/>
      <c r="I88" s="15"/>
      <c r="K88" s="15"/>
    </row>
    <row r="89" customFormat="false" ht="15" hidden="false" customHeight="false" outlineLevel="0" collapsed="false">
      <c r="G89" s="15"/>
      <c r="I89" s="15"/>
      <c r="K89" s="15"/>
    </row>
    <row r="90" customFormat="false" ht="15" hidden="false" customHeight="false" outlineLevel="0" collapsed="false">
      <c r="G90" s="15"/>
      <c r="I90" s="15"/>
      <c r="K90" s="15"/>
    </row>
    <row r="91" customFormat="false" ht="15" hidden="false" customHeight="false" outlineLevel="0" collapsed="false">
      <c r="G91" s="15"/>
      <c r="I91" s="15"/>
      <c r="K91" s="15"/>
    </row>
    <row r="92" customFormat="false" ht="15" hidden="false" customHeight="false" outlineLevel="0" collapsed="false">
      <c r="G92" s="15"/>
      <c r="I92" s="15"/>
      <c r="K92" s="15"/>
    </row>
    <row r="93" customFormat="false" ht="15" hidden="false" customHeight="false" outlineLevel="0" collapsed="false">
      <c r="G93" s="15"/>
      <c r="I93" s="15"/>
      <c r="K93" s="15"/>
    </row>
    <row r="94" customFormat="false" ht="15" hidden="false" customHeight="false" outlineLevel="0" collapsed="false">
      <c r="G94" s="15"/>
      <c r="I94" s="15"/>
      <c r="K94" s="15"/>
    </row>
    <row r="95" customFormat="false" ht="15" hidden="false" customHeight="false" outlineLevel="0" collapsed="false">
      <c r="G95" s="15"/>
      <c r="I95" s="15"/>
      <c r="K95" s="15"/>
    </row>
  </sheetData>
  <dataValidations count="3">
    <dataValidation allowBlank="true" errorStyle="stop" operator="between" showDropDown="false" showErrorMessage="true" showInputMessage="true" sqref="C3:C95" type="list">
      <formula1>'Lists of values'!$A$2:$A$20</formula1>
      <formula2>0</formula2>
    </dataValidation>
    <dataValidation allowBlank="true" errorStyle="stop" operator="between" showDropDown="false" showErrorMessage="true" showInputMessage="true" sqref="I3:I95" type="list">
      <formula1>'Lists of values'!$E$3:$E$20</formula1>
      <formula2>0</formula2>
    </dataValidation>
    <dataValidation allowBlank="true" errorStyle="stop" operator="between" showDropDown="false" showErrorMessage="true" showInputMessage="true" sqref="G3:G95 K3:K95" type="list">
      <formula1>'Lists of values'!$D$3:$D$4</formula1>
      <formula2>0</formula2>
    </dataValidation>
  </dataValidations>
  <hyperlinks>
    <hyperlink ref="E3" r:id="rId1" display="https://www.thorlabs.com/thorproduct.cfm?partnumber=Z825BV"/>
    <hyperlink ref="E4" r:id="rId2" display="https://www.thorlabs.com/thorproduct.cfm?partnumber=Z825B"/>
    <hyperlink ref="E5" r:id="rId3" display="https://www.thorlabs.com/thorproduct.cfm?partnumber=Z812V"/>
    <hyperlink ref="E9" r:id="rId4" display="https://www.newport.com/f/picomotor-piezo-linear-actuators"/>
    <hyperlink ref="E10" r:id="rId5" display="https://www.newport.com/p/8302-V"/>
    <hyperlink ref="E11" r:id="rId6" display="https://www.newport.com/p/NSA12"/>
    <hyperlink ref="E12" r:id="rId7" display="https://www.newport.com/p/NSA12V6"/>
    <hyperlink ref="E13" r:id="rId8" display="https://www.newport.com/p/TRA12PPD"/>
    <hyperlink ref="E14" r:id="rId9" display="https://www.newport.com/p/TRB6PP"/>
    <hyperlink ref="E15" r:id="rId10" display="https://www.newport.com/p/LTAHSPPV6"/>
    <hyperlink ref="E16" r:id="rId11" display="https://www.newport.com/s/advanced-motion-control-products"/>
    <hyperlink ref="E17" r:id="rId12" display="https://www.newport.com/p/TRA6PPV6"/>
    <hyperlink ref="E18" r:id="rId13" display="https://www.newport.com/p/LTAHLPPV6"/>
    <hyperlink ref="E19" r:id="rId14" display="https://www.newport.com/p/8301-V"/>
    <hyperlink ref="E20" r:id="rId15" display="http://www.micosusa.com/old/MP_20L.html"/>
    <hyperlink ref="E21" r:id="rId16" display="https://www.smaract.com/linear-stages/product/slc-24150"/>
    <hyperlink ref="E22" r:id="rId17" display="https://www.standa.lt/products/catalog/vacuum_compatible_stages?item=504&amp;prod=vacuum-compatible-motorized-screw"/>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8" activeCellId="1" sqref="A1 H8"/>
    </sheetView>
  </sheetViews>
  <sheetFormatPr defaultColWidth="9.13671875" defaultRowHeight="15" zeroHeight="false" outlineLevelRow="0" outlineLevelCol="0"/>
  <cols>
    <col collapsed="false" customWidth="true" hidden="false" outlineLevel="0" max="1" min="1" style="7" width="30.86"/>
    <col collapsed="false" customWidth="true" hidden="false" outlineLevel="0" max="2" min="2" style="7" width="33.14"/>
    <col collapsed="false" customWidth="true" hidden="false" outlineLevel="0" max="3" min="3" style="7" width="19"/>
    <col collapsed="false" customWidth="true" hidden="false" outlineLevel="0" max="4" min="4" style="7" width="18.58"/>
    <col collapsed="false" customWidth="true" hidden="false" outlineLevel="0" max="5" min="5" style="7" width="38.7"/>
    <col collapsed="false" customWidth="true" hidden="false" outlineLevel="0" max="6" min="6" style="7" width="22.43"/>
    <col collapsed="false" customWidth="true" hidden="false" outlineLevel="0" max="7" min="7" style="7" width="22.7"/>
    <col collapsed="false" customWidth="true" hidden="false" outlineLevel="0" max="8" min="8" style="7" width="24.71"/>
    <col collapsed="false" customWidth="true" hidden="false" outlineLevel="0" max="10" min="9" style="7" width="18.29"/>
    <col collapsed="false" customWidth="true" hidden="false" outlineLevel="0" max="11" min="11" style="7" width="27"/>
    <col collapsed="false" customWidth="true" hidden="false" outlineLevel="0" max="12" min="12" style="7" width="33.29"/>
    <col collapsed="false" customWidth="true" hidden="false" outlineLevel="0" max="13" min="13" style="7" width="30.02"/>
    <col collapsed="false" customWidth="true" hidden="false" outlineLevel="0" max="15" min="14" style="2" width="11.86"/>
    <col collapsed="false" customWidth="true" hidden="false" outlineLevel="0" max="16" min="16" style="2" width="10.42"/>
    <col collapsed="false" customWidth="true" hidden="false" outlineLevel="0" max="17" min="17" style="2" width="10.58"/>
    <col collapsed="false" customWidth="true" hidden="false" outlineLevel="0" max="18" min="18" style="2" width="10.12"/>
    <col collapsed="false" customWidth="true" hidden="false" outlineLevel="0" max="19" min="19" style="2" width="10.29"/>
    <col collapsed="false" customWidth="true" hidden="false" outlineLevel="0" max="20" min="20" style="2" width="10.99"/>
    <col collapsed="false" customWidth="false" hidden="false" outlineLevel="0" max="1024" min="21" style="2" width="9.13"/>
  </cols>
  <sheetData>
    <row r="1" customFormat="false" ht="15" hidden="false" customHeight="false" outlineLevel="0" collapsed="false">
      <c r="A1" s="9" t="str">
        <f aca="false">CONCATENATE('Catalogue properties'!B1," [",'Catalogue properties'!B6,"]")</f>
        <v>Catalogue Item name []</v>
      </c>
      <c r="B1" s="9" t="str">
        <f aca="false">CONCATENATE('Catalogue properties'!C1," [",'Catalogue properties'!C6,"]")</f>
        <v>Catalogue item description []</v>
      </c>
      <c r="C1" s="9" t="str">
        <f aca="false">CONCATENATE('Catalogue properties'!D1," [",'Catalogue properties'!D6,"]")</f>
        <v>Manufacturer []</v>
      </c>
      <c r="D1" s="9" t="str">
        <f aca="false">CONCATENATE('Catalogue properties'!E1," [",'Catalogue properties'!E6,"]")</f>
        <v>Manufacturer part/catalog number []</v>
      </c>
      <c r="E1" s="9" t="str">
        <f aca="false">CONCATENATE('Catalogue properties'!F1," [",'Catalogue properties'!F6,"]")</f>
        <v>ManufacturerURL []</v>
      </c>
      <c r="F1" s="9" t="str">
        <f aca="false">CONCATENATE(Actuators!D1," [",Actuators!D6,"]")</f>
        <v>Travel range [mm]</v>
      </c>
      <c r="G1" s="9" t="str">
        <f aca="false">CONCATENATE(Actuators!E1," [",Actuators!E6,"]")</f>
        <v>Vacuum compatibility []</v>
      </c>
      <c r="H1" s="9" t="str">
        <f aca="false">CONCATENATE(Actuators!F1," [",Actuators!F6,"]")</f>
        <v>For vacuum pressure [hPa]</v>
      </c>
      <c r="I1" s="9" t="str">
        <f aca="false">CONCATENATE('Motorized Actuators'!D1," [",'Motorized Actuators'!D6,"]")</f>
        <v>Motor type []</v>
      </c>
      <c r="J1" s="9" t="str">
        <f aca="false">CONCATENATE('Motorized Actuators'!E1," [",'Motorized Actuators'!E6,"]")</f>
        <v>Axial load capacity [N]</v>
      </c>
      <c r="K1" s="9" t="str">
        <f aca="false">CONCATENATE('Motorized Actuators'!F1," [",'Motorized Actuators'!F6,"]")</f>
        <v>Integrated encoder []</v>
      </c>
      <c r="L1" s="9" t="str">
        <f aca="false">CONCATENATE('Motorized Actuators'!G1," [",'Motorized Actuators'!G6,"]")</f>
        <v>Encoder resolution [nm]</v>
      </c>
      <c r="M1" s="9" t="str">
        <f aca="false">CONCATENATE('Motorized Actuators'!H1," [",'Motorized Actuators'!H6,"]")</f>
        <v>Minimum incremental motion [nm]</v>
      </c>
      <c r="N1" s="10" t="s">
        <v>57</v>
      </c>
    </row>
    <row r="2" customFormat="false" ht="21" hidden="false" customHeight="true" outlineLevel="0" collapsed="false">
      <c r="A2" s="11" t="s">
        <v>150</v>
      </c>
      <c r="B2" s="12" t="s">
        <v>151</v>
      </c>
      <c r="C2" s="13" t="s">
        <v>7</v>
      </c>
      <c r="D2" s="7" t="s">
        <v>152</v>
      </c>
      <c r="E2" s="14" t="s">
        <v>153</v>
      </c>
      <c r="F2" s="7" t="s">
        <v>62</v>
      </c>
      <c r="G2" s="15" t="s">
        <v>11</v>
      </c>
      <c r="H2" s="7" t="n">
        <f aca="false">10^-9</f>
        <v>1E-009</v>
      </c>
      <c r="I2" s="15" t="s">
        <v>15</v>
      </c>
      <c r="J2" s="7" t="s">
        <v>62</v>
      </c>
      <c r="K2" s="15" t="s">
        <v>14</v>
      </c>
      <c r="L2" s="7" t="s">
        <v>62</v>
      </c>
      <c r="M2" s="7" t="s">
        <v>62</v>
      </c>
      <c r="N2" s="7" t="n">
        <v>15040078</v>
      </c>
      <c r="O2" s="7" t="n">
        <v>15040079</v>
      </c>
      <c r="P2" s="7" t="n">
        <v>15040080</v>
      </c>
      <c r="Q2" s="7" t="n">
        <v>15040081</v>
      </c>
      <c r="R2" s="7" t="n">
        <v>15040753</v>
      </c>
    </row>
    <row r="3" customFormat="false" ht="21" hidden="false" customHeight="true" outlineLevel="0" collapsed="false">
      <c r="A3" s="11" t="s">
        <v>154</v>
      </c>
      <c r="B3" s="12" t="s">
        <v>155</v>
      </c>
      <c r="C3" s="13" t="s">
        <v>7</v>
      </c>
      <c r="D3" s="7" t="s">
        <v>156</v>
      </c>
      <c r="E3" s="14" t="s">
        <v>157</v>
      </c>
      <c r="F3" s="7" t="s">
        <v>62</v>
      </c>
      <c r="G3" s="15" t="s">
        <v>11</v>
      </c>
      <c r="H3" s="7" t="n">
        <f aca="false">10^-9</f>
        <v>1E-009</v>
      </c>
      <c r="I3" s="15" t="s">
        <v>15</v>
      </c>
      <c r="J3" s="7" t="s">
        <v>62</v>
      </c>
      <c r="K3" s="15" t="s">
        <v>14</v>
      </c>
      <c r="L3" s="7" t="s">
        <v>62</v>
      </c>
      <c r="M3" s="7" t="s">
        <v>62</v>
      </c>
      <c r="N3" s="7" t="n">
        <v>18110884</v>
      </c>
      <c r="O3" s="7" t="n">
        <v>21050301</v>
      </c>
      <c r="P3" s="7" t="n">
        <v>21050302</v>
      </c>
      <c r="Q3" s="7"/>
      <c r="R3" s="7"/>
    </row>
    <row r="4" customFormat="false" ht="21" hidden="false" customHeight="true" outlineLevel="0" collapsed="false">
      <c r="A4" s="11" t="s">
        <v>158</v>
      </c>
      <c r="B4" s="12" t="s">
        <v>159</v>
      </c>
      <c r="C4" s="13" t="s">
        <v>7</v>
      </c>
      <c r="D4" s="7" t="s">
        <v>160</v>
      </c>
      <c r="E4" s="14" t="s">
        <v>161</v>
      </c>
      <c r="F4" s="7" t="s">
        <v>62</v>
      </c>
      <c r="G4" s="15" t="s">
        <v>11</v>
      </c>
      <c r="H4" s="7" t="n">
        <f aca="false">10^-9</f>
        <v>1E-009</v>
      </c>
      <c r="I4" s="15" t="s">
        <v>15</v>
      </c>
      <c r="J4" s="7" t="s">
        <v>62</v>
      </c>
      <c r="K4" s="15" t="s">
        <v>14</v>
      </c>
      <c r="L4" s="7" t="s">
        <v>62</v>
      </c>
      <c r="M4" s="7" t="s">
        <v>62</v>
      </c>
      <c r="N4" s="7" t="n">
        <v>19110817</v>
      </c>
      <c r="O4" s="7" t="n">
        <v>19110818</v>
      </c>
      <c r="P4" s="7" t="n">
        <v>19110819</v>
      </c>
      <c r="Q4" s="7" t="n">
        <v>19110820</v>
      </c>
      <c r="R4" s="7" t="n">
        <v>19110821</v>
      </c>
      <c r="S4" s="7" t="n">
        <v>19110822</v>
      </c>
      <c r="T4" s="7" t="n">
        <v>19110823</v>
      </c>
      <c r="U4" s="7" t="n">
        <v>19110824</v>
      </c>
    </row>
    <row r="5" customFormat="false" ht="21" hidden="false" customHeight="true" outlineLevel="0" collapsed="false">
      <c r="A5" s="11" t="s">
        <v>162</v>
      </c>
      <c r="B5" s="12" t="s">
        <v>163</v>
      </c>
      <c r="C5" s="13" t="s">
        <v>7</v>
      </c>
      <c r="D5" s="7" t="s">
        <v>164</v>
      </c>
      <c r="E5" s="14" t="s">
        <v>165</v>
      </c>
      <c r="F5" s="7" t="s">
        <v>62</v>
      </c>
      <c r="G5" s="15" t="s">
        <v>11</v>
      </c>
      <c r="H5" s="7" t="n">
        <f aca="false">10^-9</f>
        <v>1E-009</v>
      </c>
      <c r="I5" s="15" t="s">
        <v>15</v>
      </c>
      <c r="J5" s="7" t="s">
        <v>62</v>
      </c>
      <c r="K5" s="15" t="s">
        <v>14</v>
      </c>
      <c r="L5" s="7" t="s">
        <v>62</v>
      </c>
      <c r="M5" s="7" t="s">
        <v>62</v>
      </c>
      <c r="N5" s="7" t="n">
        <v>20080564</v>
      </c>
      <c r="O5" s="7" t="n">
        <v>20080565</v>
      </c>
      <c r="P5" s="7" t="n">
        <v>20080566</v>
      </c>
      <c r="Q5" s="7"/>
      <c r="R5" s="7"/>
      <c r="S5" s="7"/>
      <c r="T5" s="7"/>
      <c r="U5" s="7"/>
    </row>
    <row r="6" customFormat="false" ht="15" hidden="false" customHeight="false" outlineLevel="0" collapsed="false">
      <c r="A6" s="11"/>
      <c r="B6" s="12"/>
      <c r="C6" s="13"/>
      <c r="G6" s="15"/>
      <c r="I6" s="15"/>
      <c r="K6" s="15"/>
    </row>
    <row r="7" customFormat="false" ht="15" hidden="false" customHeight="false" outlineLevel="0" collapsed="false">
      <c r="A7" s="11"/>
      <c r="B7" s="12"/>
      <c r="C7" s="13"/>
      <c r="G7" s="15"/>
      <c r="I7" s="15"/>
      <c r="K7" s="15"/>
    </row>
    <row r="8" customFormat="false" ht="15" hidden="false" customHeight="false" outlineLevel="0" collapsed="false">
      <c r="A8" s="11"/>
      <c r="B8" s="12"/>
      <c r="C8" s="13"/>
      <c r="G8" s="15"/>
      <c r="I8" s="15"/>
      <c r="K8" s="15"/>
    </row>
    <row r="9" customFormat="false" ht="15" hidden="false" customHeight="false" outlineLevel="0" collapsed="false">
      <c r="A9" s="11"/>
      <c r="B9" s="12"/>
      <c r="G9" s="15"/>
      <c r="I9" s="15"/>
      <c r="K9" s="15"/>
    </row>
    <row r="10" customFormat="false" ht="15" hidden="false" customHeight="false" outlineLevel="0" collapsed="false">
      <c r="A10" s="11"/>
      <c r="B10" s="12"/>
      <c r="G10" s="15"/>
      <c r="I10" s="15"/>
      <c r="K10" s="15"/>
    </row>
    <row r="11" customFormat="false" ht="15" hidden="false" customHeight="false" outlineLevel="0" collapsed="false">
      <c r="A11" s="11"/>
      <c r="B11" s="11"/>
      <c r="G11" s="15"/>
      <c r="I11" s="15"/>
      <c r="K11" s="15"/>
    </row>
    <row r="12" customFormat="false" ht="15" hidden="false" customHeight="false" outlineLevel="0" collapsed="false">
      <c r="A12" s="11"/>
      <c r="B12" s="16"/>
      <c r="G12" s="15"/>
      <c r="I12" s="15"/>
      <c r="K12" s="15"/>
    </row>
    <row r="13" customFormat="false" ht="15" hidden="false" customHeight="false" outlineLevel="0" collapsed="false">
      <c r="A13" s="11"/>
      <c r="B13" s="16"/>
      <c r="G13" s="15"/>
      <c r="I13" s="15"/>
      <c r="K13" s="15"/>
    </row>
    <row r="14" customFormat="false" ht="15" hidden="false" customHeight="false" outlineLevel="0" collapsed="false">
      <c r="B14" s="16"/>
      <c r="G14" s="15"/>
      <c r="I14" s="15"/>
      <c r="K14" s="15"/>
    </row>
    <row r="15" customFormat="false" ht="15" hidden="false" customHeight="false" outlineLevel="0" collapsed="false">
      <c r="B15" s="16"/>
      <c r="G15" s="15"/>
      <c r="I15" s="15"/>
      <c r="K15" s="15"/>
    </row>
    <row r="16" customFormat="false" ht="15" hidden="false" customHeight="false" outlineLevel="0" collapsed="false">
      <c r="G16" s="15"/>
      <c r="I16" s="15"/>
      <c r="K16" s="15"/>
    </row>
    <row r="17" customFormat="false" ht="15" hidden="false" customHeight="false" outlineLevel="0" collapsed="false">
      <c r="G17" s="15"/>
      <c r="I17" s="15"/>
      <c r="K17" s="15"/>
    </row>
    <row r="18" customFormat="false" ht="15" hidden="false" customHeight="false" outlineLevel="0" collapsed="false">
      <c r="G18" s="15"/>
      <c r="I18" s="15"/>
      <c r="K18" s="15"/>
    </row>
    <row r="19" customFormat="false" ht="15" hidden="false" customHeight="false" outlineLevel="0" collapsed="false">
      <c r="G19" s="15"/>
      <c r="I19" s="15"/>
      <c r="K19" s="15"/>
    </row>
    <row r="20" customFormat="false" ht="15" hidden="false" customHeight="false" outlineLevel="0" collapsed="false">
      <c r="G20" s="15"/>
      <c r="I20" s="15"/>
      <c r="K20" s="15"/>
    </row>
    <row r="21" customFormat="false" ht="15" hidden="false" customHeight="false" outlineLevel="0" collapsed="false">
      <c r="G21" s="15"/>
      <c r="I21" s="15"/>
      <c r="K21" s="15"/>
    </row>
    <row r="22" customFormat="false" ht="15" hidden="false" customHeight="false" outlineLevel="0" collapsed="false">
      <c r="G22" s="15"/>
      <c r="I22" s="15"/>
      <c r="K22" s="15"/>
    </row>
    <row r="23" customFormat="false" ht="15" hidden="false" customHeight="false" outlineLevel="0" collapsed="false">
      <c r="G23" s="15"/>
      <c r="I23" s="15"/>
      <c r="K23" s="15"/>
    </row>
    <row r="24" customFormat="false" ht="15" hidden="false" customHeight="false" outlineLevel="0" collapsed="false">
      <c r="G24" s="15"/>
      <c r="I24" s="15"/>
      <c r="K24" s="15"/>
    </row>
    <row r="25" customFormat="false" ht="15" hidden="false" customHeight="false" outlineLevel="0" collapsed="false">
      <c r="G25" s="15"/>
      <c r="I25" s="15"/>
      <c r="K25" s="15"/>
    </row>
    <row r="26" customFormat="false" ht="15" hidden="false" customHeight="false" outlineLevel="0" collapsed="false">
      <c r="G26" s="15"/>
      <c r="I26" s="15"/>
      <c r="K26" s="15"/>
    </row>
    <row r="27" customFormat="false" ht="15" hidden="false" customHeight="false" outlineLevel="0" collapsed="false">
      <c r="G27" s="15"/>
      <c r="I27" s="15"/>
      <c r="K27" s="15"/>
    </row>
    <row r="28" customFormat="false" ht="15" hidden="false" customHeight="false" outlineLevel="0" collapsed="false">
      <c r="G28" s="15"/>
      <c r="I28" s="15"/>
      <c r="K28" s="15"/>
    </row>
    <row r="29" customFormat="false" ht="15" hidden="false" customHeight="false" outlineLevel="0" collapsed="false">
      <c r="G29" s="15"/>
      <c r="I29" s="15"/>
      <c r="K29" s="15"/>
    </row>
    <row r="30" customFormat="false" ht="15" hidden="false" customHeight="false" outlineLevel="0" collapsed="false">
      <c r="G30" s="15"/>
      <c r="I30" s="15"/>
      <c r="K30" s="15"/>
    </row>
    <row r="31" customFormat="false" ht="15" hidden="false" customHeight="false" outlineLevel="0" collapsed="false">
      <c r="G31" s="15"/>
      <c r="I31" s="15"/>
      <c r="K31" s="15"/>
    </row>
    <row r="32" customFormat="false" ht="15" hidden="false" customHeight="false" outlineLevel="0" collapsed="false">
      <c r="G32" s="15"/>
      <c r="I32" s="15"/>
      <c r="K32" s="15"/>
    </row>
    <row r="33" customFormat="false" ht="15" hidden="false" customHeight="false" outlineLevel="0" collapsed="false">
      <c r="G33" s="15"/>
      <c r="I33" s="15"/>
      <c r="K33" s="15"/>
    </row>
    <row r="34" customFormat="false" ht="15" hidden="false" customHeight="false" outlineLevel="0" collapsed="false">
      <c r="G34" s="15"/>
      <c r="I34" s="15"/>
      <c r="K34" s="15"/>
    </row>
    <row r="35" customFormat="false" ht="15" hidden="false" customHeight="false" outlineLevel="0" collapsed="false">
      <c r="G35" s="15"/>
      <c r="I35" s="15"/>
      <c r="K35" s="15"/>
    </row>
    <row r="36" customFormat="false" ht="15" hidden="false" customHeight="false" outlineLevel="0" collapsed="false">
      <c r="G36" s="15"/>
      <c r="I36" s="15"/>
      <c r="K36" s="15"/>
    </row>
    <row r="37" customFormat="false" ht="15" hidden="false" customHeight="false" outlineLevel="0" collapsed="false">
      <c r="G37" s="15"/>
      <c r="I37" s="15"/>
      <c r="K37" s="15"/>
    </row>
    <row r="38" customFormat="false" ht="15" hidden="false" customHeight="false" outlineLevel="0" collapsed="false">
      <c r="G38" s="15"/>
      <c r="I38" s="15"/>
      <c r="K38" s="15"/>
    </row>
    <row r="39" customFormat="false" ht="15" hidden="false" customHeight="false" outlineLevel="0" collapsed="false">
      <c r="G39" s="15"/>
      <c r="I39" s="15"/>
      <c r="K39" s="15"/>
    </row>
    <row r="40" customFormat="false" ht="15" hidden="false" customHeight="false" outlineLevel="0" collapsed="false">
      <c r="G40" s="15"/>
      <c r="I40" s="15"/>
      <c r="K40" s="15"/>
    </row>
    <row r="41" customFormat="false" ht="15" hidden="false" customHeight="false" outlineLevel="0" collapsed="false">
      <c r="G41" s="15"/>
      <c r="I41" s="15"/>
      <c r="K41" s="15"/>
    </row>
    <row r="42" customFormat="false" ht="15" hidden="false" customHeight="false" outlineLevel="0" collapsed="false">
      <c r="G42" s="15"/>
      <c r="I42" s="15"/>
      <c r="K42" s="15"/>
    </row>
    <row r="43" customFormat="false" ht="15" hidden="false" customHeight="false" outlineLevel="0" collapsed="false">
      <c r="G43" s="15"/>
      <c r="I43" s="15"/>
      <c r="K43" s="15"/>
    </row>
    <row r="44" customFormat="false" ht="15" hidden="false" customHeight="false" outlineLevel="0" collapsed="false">
      <c r="G44" s="15"/>
      <c r="I44" s="15"/>
      <c r="K44" s="15"/>
    </row>
    <row r="45" customFormat="false" ht="15" hidden="false" customHeight="false" outlineLevel="0" collapsed="false">
      <c r="G45" s="15"/>
      <c r="I45" s="15"/>
      <c r="K45" s="15"/>
    </row>
    <row r="46" customFormat="false" ht="15" hidden="false" customHeight="false" outlineLevel="0" collapsed="false">
      <c r="G46" s="15"/>
      <c r="I46" s="15"/>
      <c r="K46" s="15"/>
    </row>
    <row r="47" customFormat="false" ht="15" hidden="false" customHeight="false" outlineLevel="0" collapsed="false">
      <c r="G47" s="15"/>
      <c r="I47" s="15"/>
      <c r="K47" s="15"/>
    </row>
    <row r="48" customFormat="false" ht="15" hidden="false" customHeight="false" outlineLevel="0" collapsed="false">
      <c r="G48" s="15"/>
      <c r="I48" s="15"/>
      <c r="K48" s="15"/>
    </row>
    <row r="49" customFormat="false" ht="15" hidden="false" customHeight="false" outlineLevel="0" collapsed="false">
      <c r="G49" s="15"/>
      <c r="I49" s="15"/>
      <c r="K49" s="15"/>
    </row>
    <row r="50" customFormat="false" ht="15" hidden="false" customHeight="false" outlineLevel="0" collapsed="false">
      <c r="G50" s="15"/>
      <c r="I50" s="15"/>
      <c r="K50" s="15"/>
    </row>
    <row r="51" customFormat="false" ht="15" hidden="false" customHeight="false" outlineLevel="0" collapsed="false">
      <c r="G51" s="15"/>
      <c r="I51" s="15"/>
      <c r="K51" s="15"/>
    </row>
    <row r="52" customFormat="false" ht="15" hidden="false" customHeight="false" outlineLevel="0" collapsed="false">
      <c r="G52" s="15"/>
      <c r="I52" s="15"/>
      <c r="K52" s="15"/>
    </row>
    <row r="53" customFormat="false" ht="15" hidden="false" customHeight="false" outlineLevel="0" collapsed="false">
      <c r="G53" s="15"/>
      <c r="I53" s="15"/>
      <c r="K53" s="15"/>
    </row>
    <row r="54" customFormat="false" ht="15" hidden="false" customHeight="false" outlineLevel="0" collapsed="false">
      <c r="G54" s="15"/>
      <c r="I54" s="15"/>
      <c r="K54" s="15"/>
    </row>
    <row r="55" customFormat="false" ht="15" hidden="false" customHeight="false" outlineLevel="0" collapsed="false">
      <c r="G55" s="15"/>
      <c r="I55" s="15"/>
      <c r="K55" s="15"/>
    </row>
    <row r="56" customFormat="false" ht="15" hidden="false" customHeight="false" outlineLevel="0" collapsed="false">
      <c r="G56" s="15"/>
      <c r="I56" s="15"/>
      <c r="K56" s="15"/>
    </row>
    <row r="57" customFormat="false" ht="15" hidden="false" customHeight="false" outlineLevel="0" collapsed="false">
      <c r="G57" s="15"/>
      <c r="I57" s="15"/>
      <c r="K57" s="15"/>
    </row>
    <row r="58" customFormat="false" ht="15" hidden="false" customHeight="false" outlineLevel="0" collapsed="false">
      <c r="G58" s="15"/>
      <c r="I58" s="15"/>
      <c r="K58" s="15"/>
    </row>
    <row r="59" customFormat="false" ht="15" hidden="false" customHeight="false" outlineLevel="0" collapsed="false">
      <c r="G59" s="15"/>
      <c r="I59" s="15"/>
      <c r="K59" s="15"/>
    </row>
    <row r="60" customFormat="false" ht="15" hidden="false" customHeight="false" outlineLevel="0" collapsed="false">
      <c r="G60" s="15"/>
      <c r="I60" s="15"/>
      <c r="K60" s="15"/>
    </row>
    <row r="61" customFormat="false" ht="15" hidden="false" customHeight="false" outlineLevel="0" collapsed="false">
      <c r="G61" s="15"/>
      <c r="I61" s="15"/>
      <c r="K61" s="15"/>
    </row>
    <row r="62" customFormat="false" ht="15" hidden="false" customHeight="false" outlineLevel="0" collapsed="false">
      <c r="G62" s="15"/>
      <c r="I62" s="15"/>
      <c r="K62" s="15"/>
    </row>
    <row r="63" customFormat="false" ht="15" hidden="false" customHeight="false" outlineLevel="0" collapsed="false">
      <c r="G63" s="15"/>
      <c r="I63" s="15"/>
      <c r="K63" s="15"/>
    </row>
    <row r="64" customFormat="false" ht="15" hidden="false" customHeight="false" outlineLevel="0" collapsed="false">
      <c r="G64" s="15"/>
      <c r="I64" s="15"/>
      <c r="K64" s="15"/>
    </row>
    <row r="65" customFormat="false" ht="15" hidden="false" customHeight="false" outlineLevel="0" collapsed="false">
      <c r="G65" s="15"/>
      <c r="I65" s="15"/>
      <c r="K65" s="15"/>
    </row>
    <row r="66" customFormat="false" ht="15" hidden="false" customHeight="false" outlineLevel="0" collapsed="false">
      <c r="G66" s="15"/>
      <c r="I66" s="15"/>
      <c r="K66" s="15"/>
    </row>
    <row r="67" customFormat="false" ht="15" hidden="false" customHeight="false" outlineLevel="0" collapsed="false">
      <c r="G67" s="15"/>
      <c r="I67" s="15"/>
      <c r="K67" s="15"/>
    </row>
    <row r="68" customFormat="false" ht="15" hidden="false" customHeight="false" outlineLevel="0" collapsed="false">
      <c r="G68" s="15"/>
      <c r="I68" s="15"/>
      <c r="K68" s="15"/>
    </row>
    <row r="69" customFormat="false" ht="15" hidden="false" customHeight="false" outlineLevel="0" collapsed="false">
      <c r="G69" s="15"/>
      <c r="I69" s="15"/>
      <c r="K69" s="15"/>
    </row>
    <row r="70" customFormat="false" ht="15" hidden="false" customHeight="false" outlineLevel="0" collapsed="false">
      <c r="G70" s="15"/>
      <c r="I70" s="15"/>
      <c r="K70" s="15"/>
    </row>
    <row r="71" customFormat="false" ht="15" hidden="false" customHeight="false" outlineLevel="0" collapsed="false">
      <c r="G71" s="15"/>
      <c r="I71" s="15"/>
      <c r="K71" s="15"/>
    </row>
    <row r="72" customFormat="false" ht="15" hidden="false" customHeight="false" outlineLevel="0" collapsed="false">
      <c r="G72" s="15"/>
      <c r="I72" s="15"/>
      <c r="K72" s="15"/>
    </row>
    <row r="73" customFormat="false" ht="15" hidden="false" customHeight="false" outlineLevel="0" collapsed="false">
      <c r="G73" s="15"/>
      <c r="I73" s="15"/>
      <c r="K73" s="15"/>
    </row>
    <row r="74" customFormat="false" ht="15" hidden="false" customHeight="false" outlineLevel="0" collapsed="false">
      <c r="G74" s="15"/>
      <c r="I74" s="15"/>
      <c r="K74" s="15"/>
    </row>
    <row r="75" customFormat="false" ht="15" hidden="false" customHeight="false" outlineLevel="0" collapsed="false">
      <c r="G75" s="15"/>
      <c r="I75" s="15"/>
      <c r="K75" s="15"/>
    </row>
    <row r="76" customFormat="false" ht="15" hidden="false" customHeight="false" outlineLevel="0" collapsed="false">
      <c r="G76" s="15"/>
      <c r="I76" s="15"/>
      <c r="K76" s="15"/>
    </row>
    <row r="77" customFormat="false" ht="15" hidden="false" customHeight="false" outlineLevel="0" collapsed="false">
      <c r="G77" s="15"/>
      <c r="I77" s="15"/>
      <c r="K77" s="15"/>
    </row>
    <row r="78" customFormat="false" ht="15" hidden="false" customHeight="false" outlineLevel="0" collapsed="false">
      <c r="G78" s="15"/>
      <c r="I78" s="15"/>
      <c r="K78" s="15"/>
    </row>
    <row r="79" customFormat="false" ht="15" hidden="false" customHeight="false" outlineLevel="0" collapsed="false">
      <c r="G79" s="15"/>
      <c r="I79" s="15"/>
      <c r="K79" s="15"/>
    </row>
    <row r="80" customFormat="false" ht="15" hidden="false" customHeight="false" outlineLevel="0" collapsed="false">
      <c r="G80" s="15"/>
      <c r="I80" s="15"/>
      <c r="K80" s="15"/>
    </row>
    <row r="81" customFormat="false" ht="15" hidden="false" customHeight="false" outlineLevel="0" collapsed="false">
      <c r="G81" s="15"/>
      <c r="I81" s="15"/>
      <c r="K81" s="15"/>
    </row>
  </sheetData>
  <dataValidations count="3">
    <dataValidation allowBlank="true" errorStyle="stop" operator="between" showDropDown="false" showErrorMessage="true" showInputMessage="true" sqref="C2:C81" type="list">
      <formula1>'Lists of values'!$A$2:$A$20</formula1>
      <formula2>0</formula2>
    </dataValidation>
    <dataValidation allowBlank="true" errorStyle="stop" operator="between" showDropDown="false" showErrorMessage="true" showInputMessage="true" sqref="I2:I81" type="list">
      <formula1>'Lists of values'!$E$3:$E$20</formula1>
      <formula2>0</formula2>
    </dataValidation>
    <dataValidation allowBlank="true" errorStyle="stop" operator="between" showDropDown="false" showErrorMessage="true" showInputMessage="true" sqref="G2:G81 K2:K81" type="list">
      <formula1>'Lists of values'!$D$3:$D$4</formula1>
      <formula2>0</formula2>
    </dataValidation>
  </dataValidations>
  <hyperlinks>
    <hyperlink ref="E2" r:id="rId1" display="https://www.thorlabs.com/thorproduct.cfm?partnumber=POLARIS-K1S3P"/>
    <hyperlink ref="E4" r:id="rId2" display="https://www.thorlabs.com/thorproduct.cfm?partnumber=POLARIS-K2F2"/>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LibreOffice/7.2.5.2.0$Linux_X86_64 LibreOffice_project/20$Build-2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
  <dcterms:modified xsi:type="dcterms:W3CDTF">2022-07-26T15:21:41Z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